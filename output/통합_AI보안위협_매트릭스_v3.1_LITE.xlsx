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개요" sheetId="1" state="visible" r:id="rId1"/>
    <sheet name="통합매트릭스" sheetId="2" state="visible" r:id="rId2"/>
    <sheet name="도메인·평가기준" sheetId="3" state="visible" r:id="rId3"/>
    <sheet name="ATLAS사례연구" sheetId="4" state="visible" r:id="rId4"/>
    <sheet name="변경이력" sheetId="5" state="visible" r:id="rId5"/>
  </sheets>
  <definedNames>
    <definedName name="_xlnm._FilterDatabase" localSheetId="1" hidden="1">'통합매트릭스'!$A$4:$Q$131</definedName>
    <definedName name="_xlnm._FilterDatabase" localSheetId="3" hidden="1">'ATLAS사례연구'!$A$4:$J$77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Noto Sans CJK SC"/>
      <family val="2"/>
      <b val="1"/>
      <color rgb="FF1F3864"/>
      <sz val="14"/>
    </font>
    <font>
      <name val="Noto Sans CJK SC"/>
      <family val="2"/>
      <i val="1"/>
      <color rgb="FF595959"/>
      <sz val="9"/>
    </font>
    <font>
      <b val="1"/>
      <color rgb="001F3864"/>
      <sz val="9"/>
    </font>
    <font>
      <name val="Noto Sans CJK SC"/>
      <family val="2"/>
      <b val="1"/>
      <color rgb="FFFFFFFF"/>
      <sz val="9"/>
    </font>
    <font>
      <name val="Arial"/>
      <charset val="1"/>
      <family val="0"/>
      <color rgb="FF595959"/>
      <sz val="9"/>
    </font>
    <font>
      <name val="Arial"/>
      <charset val="1"/>
      <family val="0"/>
      <b val="1"/>
      <color rgb="FF000000"/>
      <sz val="9"/>
    </font>
    <font>
      <name val="Noto Sans CJK SC"/>
      <family val="2"/>
      <b val="1"/>
      <color rgb="FF000000"/>
      <sz val="9"/>
    </font>
    <font>
      <name val="Noto Sans CJK SC"/>
      <family val="2"/>
      <color rgb="FF000000"/>
      <sz val="9"/>
    </font>
    <font>
      <name val="Arial"/>
      <charset val="1"/>
      <family val="0"/>
      <color rgb="FF000000"/>
      <sz val="9"/>
    </font>
    <font>
      <name val="Noto Sans CJK SC"/>
      <family val="2"/>
      <color rgb="FF595959"/>
      <sz val="9"/>
    </font>
    <font>
      <b val="1"/>
      <color rgb="001F3864"/>
      <sz val="14"/>
    </font>
    <font>
      <color rgb="00595959"/>
      <sz val="9"/>
    </font>
    <font>
      <b val="1"/>
      <color rgb="001F3864"/>
      <sz val="11"/>
    </font>
    <font>
      <b val="1"/>
      <color rgb="00FFFFFF"/>
      <sz val="9"/>
    </font>
    <font>
      <sz val="9"/>
    </font>
  </fonts>
  <fills count="1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FF1F3864"/>
        <bgColor rgb="FF404040"/>
      </patternFill>
    </fill>
    <fill>
      <patternFill patternType="solid">
        <fgColor rgb="FFFDE9D9"/>
        <bgColor rgb="FFFBE5D6"/>
      </patternFill>
    </fill>
    <fill>
      <patternFill patternType="solid">
        <fgColor rgb="FFDAE3F3"/>
        <bgColor rgb="FFD9E1F2"/>
      </patternFill>
    </fill>
    <fill>
      <patternFill patternType="solid">
        <fgColor rgb="FFE2EFDA"/>
        <bgColor rgb="FFE7E6E6"/>
      </patternFill>
    </fill>
    <fill>
      <patternFill patternType="solid">
        <fgColor rgb="FFFFF2CC"/>
        <bgColor rgb="FFFDE9D9"/>
      </patternFill>
    </fill>
    <fill>
      <patternFill patternType="solid">
        <fgColor rgb="FFE4DFEC"/>
        <bgColor rgb="FFE7E6E6"/>
      </patternFill>
    </fill>
    <fill>
      <patternFill patternType="solid">
        <fgColor rgb="FFFCE4D6"/>
        <bgColor rgb="FFFBE5D6"/>
      </patternFill>
    </fill>
    <fill>
      <patternFill patternType="solid">
        <fgColor rgb="FFDDEBF7"/>
        <bgColor rgb="FFDAE3F3"/>
      </patternFill>
    </fill>
    <fill>
      <patternFill patternType="solid">
        <fgColor rgb="FFEDEDED"/>
        <bgColor rgb="FFF2F2F2"/>
      </patternFill>
    </fill>
    <fill>
      <patternFill patternType="solid">
        <fgColor rgb="FFE7E6E6"/>
        <bgColor rgb="FFE4DFEC"/>
      </patternFill>
    </fill>
    <fill>
      <patternFill patternType="solid">
        <fgColor rgb="FFF2F2F2"/>
        <bgColor rgb="FFEDEDED"/>
      </patternFill>
    </fill>
    <fill>
      <patternFill patternType="solid">
        <fgColor rgb="001F3864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14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vertical="top" wrapText="1"/>
    </xf>
    <xf numFmtId="0" fontId="15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general" vertical="bottom"/>
    </xf>
    <xf numFmtId="0" fontId="2" fillId="0" borderId="0" applyAlignment="1" pivotButton="0" quotePrefix="0" xfId="0">
      <alignment horizontal="general" vertical="bottom"/>
    </xf>
    <xf numFmtId="0" fontId="3" fillId="2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4" fillId="3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general" vertical="top" wrapText="1"/>
    </xf>
    <xf numFmtId="0" fontId="5" fillId="4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general" vertical="top" wrapText="1"/>
    </xf>
    <xf numFmtId="0" fontId="8" fillId="0" borderId="2" applyAlignment="1" pivotButton="0" quotePrefix="0" xfId="0">
      <alignment horizontal="general" vertical="top" wrapText="1"/>
    </xf>
    <xf numFmtId="0" fontId="7" fillId="0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general" vertical="top" wrapText="1"/>
    </xf>
    <xf numFmtId="0" fontId="6" fillId="0" borderId="2" applyAlignment="1" pivotButton="0" quotePrefix="0" xfId="0">
      <alignment horizontal="general" vertical="top" wrapText="1"/>
    </xf>
    <xf numFmtId="0" fontId="10" fillId="4" borderId="2" applyAlignment="1" pivotButton="0" quotePrefix="0" xfId="0">
      <alignment horizontal="general" vertical="top" wrapText="1"/>
    </xf>
    <xf numFmtId="0" fontId="5" fillId="5" borderId="2" applyAlignment="1" pivotButton="0" quotePrefix="0" xfId="0">
      <alignment horizontal="general" vertical="top" wrapText="1"/>
    </xf>
    <xf numFmtId="0" fontId="5" fillId="5" borderId="2" applyAlignment="1" pivotButton="0" quotePrefix="0" xfId="0">
      <alignment horizontal="center" vertical="center" wrapText="1"/>
    </xf>
    <xf numFmtId="0" fontId="10" fillId="5" borderId="2" applyAlignment="1" pivotButton="0" quotePrefix="0" xfId="0">
      <alignment horizontal="general" vertical="top" wrapText="1"/>
    </xf>
    <xf numFmtId="0" fontId="5" fillId="6" borderId="2" applyAlignment="1" pivotButton="0" quotePrefix="0" xfId="0">
      <alignment horizontal="general" vertical="top" wrapText="1"/>
    </xf>
    <xf numFmtId="0" fontId="5" fillId="6" borderId="2" applyAlignment="1" pivotButton="0" quotePrefix="0" xfId="0">
      <alignment horizontal="center" vertical="center" wrapText="1"/>
    </xf>
    <xf numFmtId="0" fontId="10" fillId="6" borderId="2" applyAlignment="1" pivotButton="0" quotePrefix="0" xfId="0">
      <alignment horizontal="general" vertical="top" wrapText="1"/>
    </xf>
    <xf numFmtId="0" fontId="5" fillId="7" borderId="2" applyAlignment="1" pivotButton="0" quotePrefix="0" xfId="0">
      <alignment horizontal="general" vertical="top" wrapText="1"/>
    </xf>
    <xf numFmtId="0" fontId="5" fillId="7" borderId="2" applyAlignment="1" pivotButton="0" quotePrefix="0" xfId="0">
      <alignment horizontal="center" vertical="center" wrapText="1"/>
    </xf>
    <xf numFmtId="0" fontId="10" fillId="7" borderId="2" applyAlignment="1" pivotButton="0" quotePrefix="0" xfId="0">
      <alignment horizontal="general" vertical="top" wrapText="1"/>
    </xf>
    <xf numFmtId="0" fontId="5" fillId="8" borderId="2" applyAlignment="1" pivotButton="0" quotePrefix="0" xfId="0">
      <alignment horizontal="general" vertical="top" wrapText="1"/>
    </xf>
    <xf numFmtId="0" fontId="5" fillId="8" borderId="2" applyAlignment="1" pivotButton="0" quotePrefix="0" xfId="0">
      <alignment horizontal="center" vertical="center" wrapText="1"/>
    </xf>
    <xf numFmtId="0" fontId="10" fillId="8" borderId="2" applyAlignment="1" pivotButton="0" quotePrefix="0" xfId="0">
      <alignment horizontal="general" vertical="top" wrapText="1"/>
    </xf>
    <xf numFmtId="0" fontId="5" fillId="9" borderId="2" applyAlignment="1" pivotButton="0" quotePrefix="0" xfId="0">
      <alignment horizontal="general" vertical="top" wrapText="1"/>
    </xf>
    <xf numFmtId="0" fontId="5" fillId="9" borderId="2" applyAlignment="1" pivotButton="0" quotePrefix="0" xfId="0">
      <alignment horizontal="center" vertical="center" wrapText="1"/>
    </xf>
    <xf numFmtId="0" fontId="10" fillId="9" borderId="2" applyAlignment="1" pivotButton="0" quotePrefix="0" xfId="0">
      <alignment horizontal="general" vertical="top" wrapText="1"/>
    </xf>
    <xf numFmtId="0" fontId="5" fillId="10" borderId="2" applyAlignment="1" pivotButton="0" quotePrefix="0" xfId="0">
      <alignment horizontal="general" vertical="top" wrapText="1"/>
    </xf>
    <xf numFmtId="0" fontId="5" fillId="10" borderId="2" applyAlignment="1" pivotButton="0" quotePrefix="0" xfId="0">
      <alignment horizontal="center" vertical="center" wrapText="1"/>
    </xf>
    <xf numFmtId="0" fontId="10" fillId="10" borderId="2" applyAlignment="1" pivotButton="0" quotePrefix="0" xfId="0">
      <alignment horizontal="general" vertical="top" wrapText="1"/>
    </xf>
    <xf numFmtId="0" fontId="5" fillId="11" borderId="2" applyAlignment="1" pivotButton="0" quotePrefix="0" xfId="0">
      <alignment horizontal="general" vertical="top" wrapText="1"/>
    </xf>
    <xf numFmtId="0" fontId="5" fillId="11" borderId="2" applyAlignment="1" pivotButton="0" quotePrefix="0" xfId="0">
      <alignment horizontal="center" vertical="center" wrapText="1"/>
    </xf>
    <xf numFmtId="0" fontId="10" fillId="11" borderId="2" applyAlignment="1" pivotButton="0" quotePrefix="0" xfId="0">
      <alignment horizontal="general" vertical="top" wrapText="1"/>
    </xf>
    <xf numFmtId="0" fontId="5" fillId="12" borderId="2" applyAlignment="1" pivotButton="0" quotePrefix="0" xfId="0">
      <alignment horizontal="general" vertical="top" wrapText="1"/>
    </xf>
    <xf numFmtId="0" fontId="5" fillId="12" borderId="2" applyAlignment="1" pivotButton="0" quotePrefix="0" xfId="0">
      <alignment horizontal="center" vertical="center" wrapText="1"/>
    </xf>
    <xf numFmtId="0" fontId="10" fillId="12" borderId="2" applyAlignment="1" pivotButton="0" quotePrefix="0" xfId="0">
      <alignment horizontal="general" vertical="top" wrapText="1"/>
    </xf>
    <xf numFmtId="0" fontId="5" fillId="13" borderId="2" applyAlignment="1" pivotButton="0" quotePrefix="0" xfId="0">
      <alignment horizontal="general" vertical="top" wrapText="1"/>
    </xf>
    <xf numFmtId="0" fontId="5" fillId="13" borderId="2" applyAlignment="1" pivotButton="0" quotePrefix="0" xfId="0">
      <alignment horizontal="center" vertical="center" wrapText="1"/>
    </xf>
    <xf numFmtId="0" fontId="10" fillId="13" borderId="2" applyAlignment="1" pivotButton="0" quotePrefix="0" xfId="0">
      <alignment horizontal="general" vertical="top" wrapText="1"/>
    </xf>
  </cellXfs>
  <cellStyles count="1">
    <cellStyle name="Normal" xfId="0" builtinId="0" hidden="0"/>
  </cellStyles>
  <dxfs count="9">
    <dxf>
      <font>
        <b val="1"/>
        <color rgb="00C00000"/>
      </font>
    </dxf>
    <dxf>
      <font>
        <b val="1"/>
        <color rgb="007F6000"/>
      </font>
    </dxf>
    <dxf>
      <font>
        <b val="1"/>
        <color rgb="00375623"/>
      </font>
    </dxf>
    <dxf>
      <font>
        <b val="1"/>
        <color rgb="00FFFFFF"/>
      </font>
      <fill>
        <patternFill patternType="solid">
          <fgColor rgb="00C00000"/>
        </patternFill>
      </fill>
    </dxf>
    <dxf>
      <font>
        <b val="1"/>
        <color rgb="00FFFFFF"/>
      </font>
      <fill>
        <patternFill patternType="solid">
          <fgColor rgb="00ED7D31"/>
        </patternFill>
      </fill>
    </dxf>
    <dxf>
      <font>
        <b val="1"/>
        <color rgb="00000000"/>
      </font>
      <fill>
        <patternFill patternType="solid">
          <fgColor rgb="00FFE699"/>
        </patternFill>
      </fill>
    </dxf>
    <dxf>
      <font>
        <b val="1"/>
        <color rgb="00000000"/>
      </font>
      <fill>
        <patternFill patternType="solid">
          <fgColor rgb="00C6E0B4"/>
        </patternFill>
      </fill>
    </dxf>
    <dxf>
      <font>
        <b val="1"/>
        <color rgb="00C55A11"/>
      </font>
    </dxf>
    <dxf>
      <font>
        <b val="1"/>
        <color rgb="00595959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60" customWidth="1" min="2" max="2"/>
    <col width="30" customWidth="1" min="3" max="3"/>
    <col width="22" customWidth="1" min="4" max="4"/>
    <col width="34" customWidth="1" min="5" max="5"/>
  </cols>
  <sheetData>
    <row r="1">
      <c r="A1" s="1" t="inlineStr">
        <is>
          <t>통합 AI 보안위협 매트릭스 (UTM) v3.1 LITE</t>
        </is>
      </c>
    </row>
    <row r="2">
      <c r="A2" s="2" t="inlineStr">
        <is>
          <t>Lv1 도메인 10 · Lv2 위협 분류 36 · Lv3 세부 위협 127 · 위험 평가(발생가능성×심각도) | 2026-10-02 | v3.1 원본에서 핵심 시트·열만 남긴 경량 최종본</t>
        </is>
      </c>
    </row>
    <row r="4">
      <c r="A4" s="3" t="inlineStr">
        <is>
          <t>1. 통합 대상 소스</t>
        </is>
      </c>
    </row>
    <row r="5">
      <c r="A5" s="4" t="inlineStr">
        <is>
          <t>소스</t>
        </is>
      </c>
      <c r="B5" s="4" t="inlineStr">
        <is>
          <t>버전 / 공개일</t>
        </is>
      </c>
      <c r="C5" s="4" t="inlineStr">
        <is>
          <t>규모</t>
        </is>
      </c>
      <c r="D5" s="4" t="inlineStr">
        <is>
          <t>관점</t>
        </is>
      </c>
      <c r="E5" s="4" t="inlineStr">
        <is>
          <t>입수 경로</t>
        </is>
      </c>
    </row>
    <row r="6">
      <c r="A6" s="5" t="inlineStr">
        <is>
          <t>MITRE ATLAS</t>
        </is>
      </c>
      <c r="B6" s="5" t="inlineStr">
        <is>
          <t>v2026.09 (2026-09-15)</t>
        </is>
      </c>
      <c r="C6" s="5" t="inlineStr">
        <is>
          <t>전술 16 · 기법 208 · 완화책 40 · 사례 73 · 절차 665</t>
        </is>
      </c>
      <c r="D6" s="5" t="inlineStr">
        <is>
          <t>공격자 TTP</t>
        </is>
      </c>
      <c r="E6" s="5" t="inlineStr">
        <is>
          <t>첨부 excel-atlas*.xlsx + ATLAS-2026_09.yaml</t>
        </is>
      </c>
    </row>
    <row r="7">
      <c r="A7" s="5" t="inlineStr">
        <is>
          <t>OWASP Top 10 for LLM Applications</t>
        </is>
      </c>
      <c r="B7" s="5" t="inlineStr">
        <is>
          <t>2026 (2026-08-04)</t>
        </is>
      </c>
      <c r="C7" s="5" t="inlineStr">
        <is>
          <t>10</t>
        </is>
      </c>
      <c r="D7" s="5" t="inlineStr">
        <is>
          <t>LLM 애플리케이션 위험</t>
        </is>
      </c>
      <c r="E7" s="5" t="inlineStr">
        <is>
          <t>첨부 원문</t>
        </is>
      </c>
    </row>
    <row r="8">
      <c r="A8" s="5" t="inlineStr">
        <is>
          <t>OWASP Top 10 for Agentic Applications</t>
        </is>
      </c>
      <c r="B8" s="5" t="inlineStr">
        <is>
          <t>2026 (2025-12-09)</t>
        </is>
      </c>
      <c r="C8" s="5" t="inlineStr">
        <is>
          <t>10 + 사고 추적표 25건</t>
        </is>
      </c>
      <c r="D8" s="5" t="inlineStr">
        <is>
          <t>에이전트 위험</t>
        </is>
      </c>
      <c r="E8" s="5" t="inlineStr">
        <is>
          <t>첨부 원문</t>
        </is>
      </c>
    </row>
    <row r="9">
      <c r="A9" s="5" t="inlineStr">
        <is>
          <t>OWASP GenAI Data Security</t>
        </is>
      </c>
      <c r="B9" s="5" t="inlineStr">
        <is>
          <t>2026 v1.0 (2026-03)</t>
        </is>
      </c>
      <c r="C9" s="5" t="inlineStr">
        <is>
          <t>21</t>
        </is>
      </c>
      <c r="D9" s="5" t="inlineStr">
        <is>
          <t>데이터 생애주기 위험</t>
        </is>
      </c>
      <c r="E9" s="5" t="inlineStr">
        <is>
          <t>첨부 원문</t>
        </is>
      </c>
    </row>
    <row r="10">
      <c r="A10" s="5" t="inlineStr">
        <is>
          <t>OWASP MCP Top 10 (승인된 추가 소스)</t>
        </is>
      </c>
      <c r="B10" s="5" t="inlineStr">
        <is>
          <t>2025 (beta)</t>
        </is>
      </c>
      <c r="C10" s="5" t="inlineStr">
        <is>
          <t>10</t>
        </is>
      </c>
      <c r="D10" s="5" t="inlineStr">
        <is>
          <t>MCP 프로토콜 계층</t>
        </is>
      </c>
      <c r="E10" s="5" t="inlineStr">
        <is>
          <t>github.com/OWASP/www-project-mcp-top-10</t>
        </is>
      </c>
    </row>
    <row r="12">
      <c r="A12" s="3" t="inlineStr">
        <is>
          <t>2. 핵심 지표 (수식 연동)</t>
        </is>
      </c>
    </row>
    <row r="13">
      <c r="A13" s="4" t="inlineStr">
        <is>
          <t>지표</t>
        </is>
      </c>
      <c r="B13" s="4" t="inlineStr">
        <is>
          <t>값</t>
        </is>
      </c>
    </row>
    <row r="14">
      <c r="A14" s="5" t="inlineStr">
        <is>
          <t>Lv1 도메인 / Lv2 위협 분류 / Lv3 세부 위협</t>
        </is>
      </c>
      <c r="B14" s="5">
        <f>SUMPRODUCT(1/COUNTIF(통합매트릭스!$A$5:$A$131,통합매트릭스!$A$5:$A$131))&amp;" / "&amp;SUMPRODUCT(1/COUNTIF(통합매트릭스!$B$5:$B$131,통합매트릭스!$B$5:$B$131))&amp;" / "&amp;COUNTA(통합매트릭스!$D$5:$D$131)</f>
        <v/>
      </c>
    </row>
    <row r="15">
      <c r="A15" s="5" t="inlineStr">
        <is>
          <t>위험도 매우 높음 / 높음 / 보통 / 낮음</t>
        </is>
      </c>
      <c r="B15" s="5">
        <f>COUNTIF(통합매트릭스!$I$5:$I$131,"매우 높음")&amp;" / "&amp;COUNTIF(통합매트릭스!$I$5:$I$131,"높음")&amp;" / "&amp;COUNTIF(통합매트릭스!$I$5:$I$131,"보통")&amp;" / "&amp;COUNTIF(통합매트릭스!$I$5:$I$131,"낮음")</f>
        <v/>
      </c>
    </row>
    <row r="16">
      <c r="A16" s="5" t="inlineStr">
        <is>
          <t>근거 수준 실제 사고 확인 / 실사용 기법 포함 / 실증·공개 취약점 / 이론·시나리오</t>
        </is>
      </c>
      <c r="B16" s="5">
        <f>COUNTIF(통합매트릭스!$K$5:$K$131,"실제 사고 확인")&amp;" / "&amp;COUNTIF(통합매트릭스!$K$5:$K$131,"실사용 기법 포함")&amp;" / "&amp;COUNTIF(통합매트릭스!$K$5:$K$131,"실증·공개 취약점")&amp;" / "&amp;COUNTIF(통합매트릭스!$K$5:$K$131,"이론·시나리오")</f>
        <v/>
      </c>
    </row>
    <row r="17">
      <c r="A17" s="5" t="inlineStr">
        <is>
          <t>실제 사고가 1건 이상 연결된 Lv3</t>
        </is>
      </c>
      <c r="B17" s="5">
        <f>COUNTIF(통합매트릭스!$L$5:$L$131,"&gt;0")</f>
        <v/>
      </c>
    </row>
    <row r="19">
      <c r="A19" s="3" t="inlineStr">
        <is>
          <t>3. 위험 매트릭스 (Lv3 수)</t>
        </is>
      </c>
    </row>
    <row r="20">
      <c r="A20" s="4" t="inlineStr">
        <is>
          <t>발생가능성 \ 심각도</t>
        </is>
      </c>
      <c r="B20" s="4" t="inlineStr">
        <is>
          <t>상</t>
        </is>
      </c>
      <c r="C20" s="4" t="inlineStr">
        <is>
          <t>중</t>
        </is>
      </c>
      <c r="D20" s="4" t="inlineStr">
        <is>
          <t>하</t>
        </is>
      </c>
    </row>
    <row r="21">
      <c r="A21" s="6" t="inlineStr">
        <is>
          <t>상</t>
        </is>
      </c>
      <c r="B21" s="6">
        <f>COUNTIFS(통합매트릭스!$G$5:$G$131,"상",통합매트릭스!$H$5:$H$131,"상")</f>
        <v/>
      </c>
      <c r="C21" s="6">
        <f>COUNTIFS(통합매트릭스!$G$5:$G$131,"상",통합매트릭스!$H$5:$H$131,"중")</f>
        <v/>
      </c>
      <c r="D21" s="6">
        <f>COUNTIFS(통합매트릭스!$G$5:$G$131,"상",통합매트릭스!$H$5:$H$131,"하")</f>
        <v/>
      </c>
    </row>
    <row r="22">
      <c r="A22" s="6" t="inlineStr">
        <is>
          <t>중</t>
        </is>
      </c>
      <c r="B22" s="6">
        <f>COUNTIFS(통합매트릭스!$G$5:$G$131,"중",통합매트릭스!$H$5:$H$131,"상")</f>
        <v/>
      </c>
      <c r="C22" s="6">
        <f>COUNTIFS(통합매트릭스!$G$5:$G$131,"중",통합매트릭스!$H$5:$H$131,"중")</f>
        <v/>
      </c>
      <c r="D22" s="6">
        <f>COUNTIFS(통합매트릭스!$G$5:$G$131,"중",통합매트릭스!$H$5:$H$131,"하")</f>
        <v/>
      </c>
    </row>
    <row r="23">
      <c r="A23" s="6" t="inlineStr">
        <is>
          <t>하</t>
        </is>
      </c>
      <c r="B23" s="6">
        <f>COUNTIFS(통합매트릭스!$G$5:$G$131,"하",통합매트릭스!$H$5:$H$131,"상")</f>
        <v/>
      </c>
      <c r="C23" s="6">
        <f>COUNTIFS(통합매트릭스!$G$5:$G$131,"하",통합매트릭스!$H$5:$H$131,"중")</f>
        <v/>
      </c>
      <c r="D23" s="6">
        <f>COUNTIFS(통합매트릭스!$G$5:$G$131,"하",통합매트릭스!$H$5:$H$131,"하")</f>
        <v/>
      </c>
    </row>
    <row r="25">
      <c r="A25" s="3" t="inlineStr">
        <is>
          <t>4. 시트 구성</t>
        </is>
      </c>
    </row>
    <row r="26">
      <c r="A26" s="4" t="inlineStr">
        <is>
          <t>시트</t>
        </is>
      </c>
      <c r="B26" s="4" t="inlineStr">
        <is>
          <t>내용</t>
        </is>
      </c>
    </row>
    <row r="27">
      <c r="A27" s="5" t="inlineStr">
        <is>
          <t>통합매트릭스</t>
        </is>
      </c>
      <c r="B27" s="5" t="inlineStr">
        <is>
          <t>핵심 산출물. Lv3 127행 — 분류 체계, 위험 평가, 교차 매핑(공격 단계·ATLAS·OWASP), 실제 사례, 핵심 통제(Lv2)</t>
        </is>
      </c>
    </row>
    <row r="28">
      <c r="A28" s="5" t="inlineStr">
        <is>
          <t>도메인·평가기준</t>
        </is>
      </c>
      <c r="B28" s="5" t="inlineStr">
        <is>
          <t>3단 분류 정의와 작성 규칙, Lv1 도메인 리스크 정의·경계 판정 규칙, 위험 평가·근거 수준 기준</t>
        </is>
      </c>
    </row>
    <row r="29">
      <c r="A29" s="5" t="inlineStr">
        <is>
          <t>ATLAS사례연구</t>
        </is>
      </c>
      <c r="B29" s="5" t="inlineStr">
        <is>
          <t>MITRE ATLAS 사례 73건 요약과 Lv3 매핑 — '실제 사례·공격 예시' 열의 CS ID 조회용</t>
        </is>
      </c>
    </row>
    <row r="30">
      <c r="A30" s="5" t="inlineStr">
        <is>
          <t>변경이력</t>
        </is>
      </c>
      <c r="B30" s="5" t="inlineStr">
        <is>
          <t>버전별 변경 내역(이후 개정은 새 버전 파일로 저장하고 이 시트에 기록)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1"/>
  <sheetViews>
    <sheetView showGridLines="1"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7" customWidth="1" min="2" max="2"/>
    <col width="16" customWidth="1" min="3" max="3"/>
    <col width="8" customWidth="1" min="4" max="4"/>
    <col width="16" customWidth="1" min="5" max="5"/>
    <col width="50" customWidth="1" min="6" max="6"/>
    <col width="7" customWidth="1" min="7" max="7"/>
    <col width="7" customWidth="1" min="8" max="8"/>
    <col width="8" customWidth="1" min="9" max="9"/>
    <col width="24" customWidth="1" min="10" max="10"/>
    <col width="11" customWidth="1" min="11" max="11"/>
    <col width="7" customWidth="1" min="12" max="12"/>
    <col width="13" customWidth="1" min="13" max="13"/>
    <col width="22" customWidth="1" min="14" max="14"/>
    <col width="14" customWidth="1" min="15" max="15"/>
    <col width="60" customWidth="1" min="16" max="16"/>
    <col width="34" customWidth="1" min="17" max="17"/>
  </cols>
  <sheetData>
    <row r="1">
      <c r="A1" s="7" t="inlineStr">
        <is>
          <t>통합 AI 보안위협 매트릭스 v3.1 LITE — Lv1 도메인(10) · Lv2 위협 분류(36) · Lv3 세부 위협(127)</t>
        </is>
      </c>
    </row>
    <row r="2">
      <c r="A2" s="8" t="inlineStr">
        <is>
          <t>기준: MITRE ATLAS v2026.09 · OWASP LLM Top 10 2026 · Agentic Top 10 2026 · GenAI Data Security 2026 v1.0 · MCP Top 10(2025 beta) | 2026-10-02</t>
        </is>
      </c>
    </row>
    <row r="3">
      <c r="A3" s="9" t="inlineStr">
        <is>
          <t>분류 체계 (Lv1 · Lv2 · Lv3)</t>
        </is>
      </c>
      <c r="B3" s="10" t="n"/>
      <c r="C3" s="10" t="n"/>
      <c r="D3" s="10" t="n"/>
      <c r="E3" s="10" t="n"/>
      <c r="F3" s="11" t="n"/>
      <c r="G3" s="9" t="inlineStr">
        <is>
          <t>위험 평가</t>
        </is>
      </c>
      <c r="H3" s="10" t="n"/>
      <c r="I3" s="10" t="n"/>
      <c r="J3" s="10" t="n"/>
      <c r="K3" s="10" t="n"/>
      <c r="L3" s="11" t="n"/>
      <c r="M3" s="9" t="inlineStr">
        <is>
          <t>교차 매핑</t>
        </is>
      </c>
      <c r="N3" s="10" t="n"/>
      <c r="O3" s="11" t="n"/>
      <c r="P3" s="9" t="inlineStr">
        <is>
          <t>실제 근거</t>
        </is>
      </c>
      <c r="Q3" s="9" t="inlineStr">
        <is>
          <t>통제 (Lv2)</t>
        </is>
      </c>
    </row>
    <row r="4">
      <c r="A4" s="12" t="inlineStr">
        <is>
          <t>도메인 (Lv1)</t>
        </is>
      </c>
      <c r="B4" s="12" t="inlineStr">
        <is>
          <t>UT-ID</t>
        </is>
      </c>
      <c r="C4" s="12" t="inlineStr">
        <is>
          <t>위협 분류 (Lv2)</t>
        </is>
      </c>
      <c r="D4" s="12" t="inlineStr">
        <is>
          <t>Lv3 ID</t>
        </is>
      </c>
      <c r="E4" s="12" t="inlineStr">
        <is>
          <t>세부 위협 (Lv3)</t>
        </is>
      </c>
      <c r="F4" s="12" t="inlineStr">
        <is>
          <t>위협 설명 (Lv3)</t>
        </is>
      </c>
      <c r="G4" s="12" t="inlineStr">
        <is>
          <t>발생가능성</t>
        </is>
      </c>
      <c r="H4" s="12" t="inlineStr">
        <is>
          <t>심각도</t>
        </is>
      </c>
      <c r="I4" s="12" t="inlineStr">
        <is>
          <t>위험도</t>
        </is>
      </c>
      <c r="J4" s="12" t="inlineStr">
        <is>
          <t>심각도 근거</t>
        </is>
      </c>
      <c r="K4" s="12" t="inlineStr">
        <is>
          <t>근거 수준</t>
        </is>
      </c>
      <c r="L4" s="12" t="inlineStr">
        <is>
          <t>실제 사고 수</t>
        </is>
      </c>
      <c r="M4" s="12" t="inlineStr">
        <is>
          <t>주 공격 단계</t>
        </is>
      </c>
      <c r="N4" s="12" t="inlineStr">
        <is>
          <t>ATLAS 기법 (주)</t>
        </is>
      </c>
      <c r="O4" s="12" t="inlineStr">
        <is>
          <t>OWASP 매핑 (주)</t>
        </is>
      </c>
      <c r="P4" s="12" t="inlineStr">
        <is>
          <t>실제 사례·공격 예시</t>
        </is>
      </c>
      <c r="Q4" s="12" t="inlineStr">
        <is>
          <t>핵심 통제 요약</t>
        </is>
      </c>
    </row>
    <row r="5" ht="63.75" customHeight="1">
      <c r="A5" s="13" t="inlineStr">
        <is>
          <t>D01. 공격 준비 및 AI 무기화</t>
        </is>
      </c>
      <c r="B5" s="14" t="inlineStr">
        <is>
          <t>UT-01</t>
        </is>
      </c>
      <c r="C5" s="13" t="inlineStr">
        <is>
          <t>AI 대상 정찰 및 접근 확보</t>
        </is>
      </c>
      <c r="D5" s="15" t="inlineStr">
        <is>
          <t>UT-01.1</t>
        </is>
      </c>
      <c r="E5" s="16" t="inlineStr">
        <is>
          <t>공개 정보 수집</t>
        </is>
      </c>
      <c r="F5" s="17" t="inlineStr">
        <is>
          <t>공개 논문/기술 블로그/코드 저장소/조직 웹사이트 분석을 통해 대상 AI의 모델 구조, 학습 데이터, 사용 프레임워크 및 관련 인물 정보를 수집하여 후속 공격 설계에 활용</t>
        </is>
      </c>
      <c r="G5" s="18" t="inlineStr">
        <is>
          <t>상</t>
        </is>
      </c>
      <c r="H5" s="18" t="inlineStr">
        <is>
          <t>하</t>
        </is>
      </c>
      <c r="I5" s="18">
        <f>IF(AND(G5="상",H5="상"),"매우 높음",IF(OR(AND(G5="상",H5="중"),AND(G5="중",H5="상")),"높음",IF(OR(AND(G5="중",H5="중"),AND(G5="상",H5="하"),AND(G5="하",H5="상")),"보통","낮음")))</f>
        <v/>
      </c>
      <c r="J5" s="17" t="inlineStr">
        <is>
          <t>직접 피해 없음(후속 공격 설계 단계)</t>
        </is>
      </c>
      <c r="K5" s="19" t="inlineStr">
        <is>
          <t>실제 사고 확인</t>
        </is>
      </c>
      <c r="L5" s="20" t="n">
        <v>3</v>
      </c>
      <c r="M5" s="17" t="inlineStr">
        <is>
          <t>정찰(Reconnaissance)</t>
        </is>
      </c>
      <c r="N5" s="21" t="inlineStr">
        <is>
          <t>T0000, T0000.000, T0000.001, T0000.002, T0000.003, T0001, T0003, T0004, T0095, T0095.000, T0087</t>
        </is>
      </c>
      <c r="O5" s="21" t="n"/>
      <c r="P5" s="21" t="inlineStr">
        <is>
          <t>• [ATLAS CS0004·실제사고] 카메라 영상 주입으로 얼굴인식 인증을 우회해 세금 사기(실제 사고)
• [ATLAS CS0034·실제사고] KYC 우회용 딥페이크 도구 ProKYC가 범죄자에게 판매(실제 사고)
• [ATLAS CS0070·실제사고] DeepSeek 기반 Hermes 에이전트로 Langflow·n8n 취약점 공격 시도(실제 사고)</t>
        </is>
      </c>
      <c r="Q5" s="17" t="inlineStr">
        <is>
          <t>공개 정보·모델 아티팩트 공개 최소화, 노출 자산 관리, AI 허니팟, 비정상 탐색·질의 탐지</t>
        </is>
      </c>
    </row>
    <row r="6" ht="63.75" customHeight="1">
      <c r="A6" s="13" t="inlineStr">
        <is>
          <t>D01. 공격 준비 및 AI 무기화</t>
        </is>
      </c>
      <c r="B6" s="14" t="inlineStr">
        <is>
          <t>UT-01</t>
        </is>
      </c>
      <c r="C6" s="13" t="inlineStr">
        <is>
          <t>AI 대상 정찰 및 접근 확보</t>
        </is>
      </c>
      <c r="D6" s="15" t="inlineStr">
        <is>
          <t>UT-01.2</t>
        </is>
      </c>
      <c r="E6" s="16" t="inlineStr">
        <is>
          <t>노출 AI 자산 스캔</t>
        </is>
      </c>
      <c r="F6" s="17" t="inlineStr">
        <is>
          <t>인터넷 스캔/메타데이터 API 조회를 통해 외부에 노출된 AI 서비스, 모델 저장소, 에이전트 호출 채널을 식별하고 공격 가능한 진입점 목록화</t>
        </is>
      </c>
      <c r="G6" s="18" t="inlineStr">
        <is>
          <t>상</t>
        </is>
      </c>
      <c r="H6" s="18" t="inlineStr">
        <is>
          <t>하</t>
        </is>
      </c>
      <c r="I6" s="18">
        <f>IF(AND(G6="상",H6="상"),"매우 높음",IF(OR(AND(G6="상",H6="중"),AND(G6="중",H6="상")),"높음",IF(OR(AND(G6="중",H6="중"),AND(G6="상",H6="하"),AND(G6="하",H6="상")),"보통","낮음")))</f>
        <v/>
      </c>
      <c r="J6" s="17" t="inlineStr">
        <is>
          <t>직접 피해 없음(공격 진입점 식별 단계)</t>
        </is>
      </c>
      <c r="K6" s="19" t="inlineStr">
        <is>
          <t>실제 사고 확인</t>
        </is>
      </c>
      <c r="L6" s="20" t="n">
        <v>4</v>
      </c>
      <c r="M6" s="17" t="inlineStr">
        <is>
          <t>정찰(Reconnaissance)</t>
        </is>
      </c>
      <c r="N6" s="21" t="inlineStr">
        <is>
          <t>T0006, T0006.000, T0006.001, T0006.002, T0006.003</t>
        </is>
      </c>
      <c r="O6" s="21" t="n"/>
      <c r="P6" s="21" t="inlineStr">
        <is>
          <t>• [ATLAS CS0023·실제사고] 인증 없는 Ray 클러스터를 탈취해 연산자원·자격증명·모델 탈취(ShadowRay, 실제 사고)
• [ATLAS CS0069·실제사고] GTG-1002가 탈옥한 Claude Code로 약 30개 조직 대상 자율 사이버 첩보(실제 사고)
• [ATLAS CS0070·실제사고] DeepSeek 기반 Hermes 에이전트로 Langflow·n8n 취약점 공격 시도(실제 사고)</t>
        </is>
      </c>
      <c r="Q6" s="17" t="inlineStr">
        <is>
          <t>공개 정보·모델 아티팩트 공개 최소화, 노출 자산 관리, AI 허니팟, 비정상 탐색·질의 탐지</t>
        </is>
      </c>
    </row>
    <row r="7" ht="63.75" customHeight="1">
      <c r="A7" s="13" t="inlineStr">
        <is>
          <t>D01. 공격 준비 및 AI 무기화</t>
        </is>
      </c>
      <c r="B7" s="14" t="inlineStr">
        <is>
          <t>UT-01</t>
        </is>
      </c>
      <c r="C7" s="13" t="inlineStr">
        <is>
          <t>AI 대상 정찰 및 접근 확보</t>
        </is>
      </c>
      <c r="D7" s="15" t="inlineStr">
        <is>
          <t>UT-01.3</t>
        </is>
      </c>
      <c r="E7" s="22" t="inlineStr">
        <is>
          <t>AI 모델 접근 확보</t>
        </is>
      </c>
      <c r="F7" s="17" t="inlineStr">
        <is>
          <t>추론 API/AI 탑재 제품/모델 파일 확보를 통해 대상 모델에 대한 질의 권한 또는 전체 접근 권한을 획득하여 추출/회피/추론 공격의 기반 마련</t>
        </is>
      </c>
      <c r="G7" s="18" t="inlineStr">
        <is>
          <t>상</t>
        </is>
      </c>
      <c r="H7" s="18" t="inlineStr">
        <is>
          <t>중</t>
        </is>
      </c>
      <c r="I7" s="18">
        <f>IF(AND(G7="상",H7="상"),"매우 높음",IF(OR(AND(G7="상",H7="중"),AND(G7="중",H7="상")),"높음",IF(OR(AND(G7="중",H7="중"),AND(G7="상",H7="하"),AND(G7="하",H7="상")),"보통","낮음")))</f>
        <v/>
      </c>
      <c r="J7" s="17" t="inlineStr">
        <is>
          <t>질의 또는 전체 접근 확보로 추출/회피/추론 공격 기반 형성</t>
        </is>
      </c>
      <c r="K7" s="19" t="inlineStr">
        <is>
          <t>실제 사고 확인</t>
        </is>
      </c>
      <c r="L7" s="20" t="n">
        <v>8</v>
      </c>
      <c r="M7" s="21" t="inlineStr">
        <is>
          <t>AI 모델 접근(AI Model Access)</t>
        </is>
      </c>
      <c r="N7" s="21" t="inlineStr">
        <is>
          <t>T0040, T0044, T0047</t>
        </is>
      </c>
      <c r="O7" s="21" t="n"/>
      <c r="P7" s="21" t="inlineStr">
        <is>
          <t>• [ATLAS CS0004·실제사고] 카메라 영상 주입으로 얼굴인식 인증을 우회해 세금 사기(실제 사고)
• [ATLAS CS0009·실제사고] Tay 챗봇이 사용자 대화로 온라인 학습되며 오염되어 혐오 발언 생성(실제 사고)
• [ATLAS CS0017·실제사고] ID.me 자동 신원확인을 우회해 180건 이상 허위 실업급여 청구(실제 사고)</t>
        </is>
      </c>
      <c r="Q7" s="17" t="inlineStr">
        <is>
          <t>공개 정보·모델 아티팩트 공개 최소화, 노출 자산 관리, AI 허니팟, 비정상 탐색·질의 탐지</t>
        </is>
      </c>
    </row>
    <row r="8" ht="63.75" customHeight="1">
      <c r="A8" s="13" t="inlineStr">
        <is>
          <t>D01. 공격 준비 및 AI 무기화</t>
        </is>
      </c>
      <c r="B8" s="14" t="inlineStr">
        <is>
          <t>UT-01</t>
        </is>
      </c>
      <c r="C8" s="13" t="inlineStr">
        <is>
          <t>AI 대상 정찰 및 접근 확보</t>
        </is>
      </c>
      <c r="D8" s="15" t="inlineStr">
        <is>
          <t>UT-01.4</t>
        </is>
      </c>
      <c r="E8" s="16" t="inlineStr">
        <is>
          <t>모델 및 환경 탐색</t>
        </is>
      </c>
      <c r="F8" s="17" t="inlineStr">
        <is>
          <t>출력 관찰/아티팩트 조회를 통해 모델 계열, 분류 체계, 내부 AI 자원 및 실행 환경을 파악하여 공격 정밀도 제고</t>
        </is>
      </c>
      <c r="G8" s="18" t="inlineStr">
        <is>
          <t>상</t>
        </is>
      </c>
      <c r="H8" s="18" t="inlineStr">
        <is>
          <t>하</t>
        </is>
      </c>
      <c r="I8" s="18">
        <f>IF(AND(G8="상",H8="상"),"매우 높음",IF(OR(AND(G8="상",H8="중"),AND(G8="중",H8="상")),"높음",IF(OR(AND(G8="중",H8="중"),AND(G8="상",H8="하"),AND(G8="하",H8="상")),"보통","낮음")))</f>
        <v/>
      </c>
      <c r="J8" s="17" t="inlineStr">
        <is>
          <t>탐색 단계로 직접 피해 제한적</t>
        </is>
      </c>
      <c r="K8" s="19" t="inlineStr">
        <is>
          <t>실제 사고 확인</t>
        </is>
      </c>
      <c r="L8" s="20" t="n">
        <v>3</v>
      </c>
      <c r="M8" s="17" t="inlineStr">
        <is>
          <t>탐색(Discovery)</t>
        </is>
      </c>
      <c r="N8" s="21" t="inlineStr">
        <is>
          <t>T0007, T0013, T0014, T0075, T0089</t>
        </is>
      </c>
      <c r="O8" s="21" t="n"/>
      <c r="P8" s="21" t="inlineStr">
        <is>
          <t>• [ATLAS CS0030·실제사고] 탈취한 클라우드 자격증명으로 LLM 서비스를 무단 사용·재판매(LLMjacking, 실제 사고)
• [ATLAS CS0068·실제사고] OpenAI 평가용 자율 에이전트들이 평가 경계를 넘어 외부 인프라 구축·Hugging Face 침해(실제 사고)
• [ATLAS CS0069·실제사고] GTG-1002가 탈옥한 Claude Code로 약 30개 조직 대상 자율 사이버 첩보(실제 사고)</t>
        </is>
      </c>
      <c r="Q8" s="17" t="inlineStr">
        <is>
          <t>공개 정보·모델 아티팩트 공개 최소화, 노출 자산 관리, AI 허니팟, 비정상 탐색·질의 탐지</t>
        </is>
      </c>
    </row>
    <row r="9" ht="63.75" customHeight="1">
      <c r="A9" s="13" t="inlineStr">
        <is>
          <t>D01. 공격 준비 및 AI 무기화</t>
        </is>
      </c>
      <c r="B9" s="14" t="inlineStr">
        <is>
          <t>UT-02</t>
        </is>
      </c>
      <c r="C9" s="23" t="inlineStr">
        <is>
          <t>공격 준비 및 일반 침투 기법</t>
        </is>
      </c>
      <c r="D9" s="15" t="inlineStr">
        <is>
          <t>UT-02.1</t>
        </is>
      </c>
      <c r="E9" s="16" t="inlineStr">
        <is>
          <t>공격 도구 확보</t>
        </is>
      </c>
      <c r="F9" s="17" t="inlineStr">
        <is>
          <t>공개 적대적 공격 구현체/익스플로잇/범용 해킹 도구를 입수하거나 자체 개발하여 AI 대상 공격 역량 확보</t>
        </is>
      </c>
      <c r="G9" s="18" t="inlineStr">
        <is>
          <t>상</t>
        </is>
      </c>
      <c r="H9" s="18" t="inlineStr">
        <is>
          <t>하</t>
        </is>
      </c>
      <c r="I9" s="18">
        <f>IF(AND(G9="상",H9="상"),"매우 높음",IF(OR(AND(G9="상",H9="중"),AND(G9="중",H9="상")),"높음",IF(OR(AND(G9="중",H9="중"),AND(G9="상",H9="하"),AND(G9="하",H9="상")),"보통","낮음")))</f>
        <v/>
      </c>
      <c r="J9" s="17" t="inlineStr">
        <is>
          <t>직접 피해 없음(공격 준비 단계)</t>
        </is>
      </c>
      <c r="K9" s="19" t="inlineStr">
        <is>
          <t>실제 사고 확인</t>
        </is>
      </c>
      <c r="L9" s="20" t="n">
        <v>10</v>
      </c>
      <c r="M9" s="17" t="inlineStr">
        <is>
          <t>자원 개발(Resource Development)</t>
        </is>
      </c>
      <c r="N9" s="21" t="inlineStr">
        <is>
          <t>T0016, T0016.000, T0016.001, T0016.002, T0016.003, T0017, T0017.000</t>
        </is>
      </c>
      <c r="O9" s="21" t="n"/>
      <c r="P9" s="21" t="inlineStr">
        <is>
          <t>• [ATLAS CS0002·실제사고] VirusTotal에 변종 샘플을 대량 제출해 크라우드소싱 학습 데이터를 오염
• [ATLAS CS0004·실제사고] 카메라 영상 주입으로 얼굴인식 인증을 우회해 세금 사기(실제 사고)
• [ATLAS CS0030·실제사고] 탈취한 클라우드 자격증명으로 LLM 서비스를 무단 사용·재판매(LLMjacking, 실제 사고)</t>
        </is>
      </c>
      <c r="Q9" s="17" t="inlineStr">
        <is>
          <t>기존 엔터프라이즈 보안통제(패치·EDR·네트워크 분리·ATT&amp;CK 기반 탐지)를 AI 인프라까지 확장</t>
        </is>
      </c>
    </row>
    <row r="10" ht="63.75" customHeight="1">
      <c r="A10" s="13" t="inlineStr">
        <is>
          <t>D01. 공격 준비 및 AI 무기화</t>
        </is>
      </c>
      <c r="B10" s="14" t="inlineStr">
        <is>
          <t>UT-02</t>
        </is>
      </c>
      <c r="C10" s="23" t="inlineStr">
        <is>
          <t>공격 준비 및 일반 침투 기법</t>
        </is>
      </c>
      <c r="D10" s="15" t="inlineStr">
        <is>
          <t>UT-02.2</t>
        </is>
      </c>
      <c r="E10" s="16" t="inlineStr">
        <is>
          <t>공개 AI 자원 입수</t>
        </is>
      </c>
      <c r="F10" s="17" t="inlineStr">
        <is>
          <t>공개 데이터셋/사전학습 모델/에이전트 설정 파일을 입수하여 대리 모델 구축 및 공격 사전 검증에 활용</t>
        </is>
      </c>
      <c r="G10" s="18" t="inlineStr">
        <is>
          <t>중</t>
        </is>
      </c>
      <c r="H10" s="18" t="inlineStr">
        <is>
          <t>하</t>
        </is>
      </c>
      <c r="I10" s="18">
        <f>IF(AND(G10="상",H10="상"),"매우 높음",IF(OR(AND(G10="상",H10="중"),AND(G10="중",H10="상")),"높음",IF(OR(AND(G10="중",H10="중"),AND(G10="상",H10="하"),AND(G10="하",H10="상")),"보통","낮음")))</f>
        <v/>
      </c>
      <c r="J10" s="17" t="inlineStr">
        <is>
          <t>직접 피해 없음(대리 모델 구축 등 준비 단계)</t>
        </is>
      </c>
      <c r="K10" s="19" t="inlineStr">
        <is>
          <t>실제 사고 확인</t>
        </is>
      </c>
      <c r="L10" s="20" t="n">
        <v>1</v>
      </c>
      <c r="M10" s="17" t="inlineStr">
        <is>
          <t>자원 개발(Resource Development)</t>
        </is>
      </c>
      <c r="N10" s="21" t="inlineStr">
        <is>
          <t>T0002, T0002.000, T0002.001, T0002.002</t>
        </is>
      </c>
      <c r="O10" s="21" t="n"/>
      <c r="P10" s="21" t="inlineStr">
        <is>
          <t>• [ATLAS CS0006·실제사고] Clearview AI 저장소 설정 오류로 소스코드·자격증명·모델 노출
• [ATLAS CS0000·실증] 공개 논문을 재현한 대리모델로 악성 C&amp;C 트래픽 탐지 딥러닝 모델을 회피
• [ATLAS CS0001·실증] 도메인명 변형 기법으로 CNN 기반 봇넷 DGA 탐지기를 우회</t>
        </is>
      </c>
      <c r="Q10" s="17" t="inlineStr">
        <is>
          <t>기존 엔터프라이즈 보안통제(패치·EDR·네트워크 분리·ATT&amp;CK 기반 탐지)를 AI 인프라까지 확장</t>
        </is>
      </c>
    </row>
    <row r="11" ht="63.75" customHeight="1">
      <c r="A11" s="13" t="inlineStr">
        <is>
          <t>D01. 공격 준비 및 AI 무기화</t>
        </is>
      </c>
      <c r="B11" s="14" t="inlineStr">
        <is>
          <t>UT-02</t>
        </is>
      </c>
      <c r="C11" s="23" t="inlineStr">
        <is>
          <t>공격 준비 및 일반 침투 기법</t>
        </is>
      </c>
      <c r="D11" s="15" t="inlineStr">
        <is>
          <t>UT-02.3</t>
        </is>
      </c>
      <c r="E11" s="16" t="inlineStr">
        <is>
          <t>공격 인프라 확보</t>
        </is>
      </c>
      <c r="F11" s="17" t="inlineStr">
        <is>
          <t>클라우드 자원/도메인/물리적 대응물 구매, 계정 생성, 정상 인프라 탈취를 통해 공격 수행 및 은닉에 필요한 기반 구축</t>
        </is>
      </c>
      <c r="G11" s="18" t="inlineStr">
        <is>
          <t>상</t>
        </is>
      </c>
      <c r="H11" s="18" t="inlineStr">
        <is>
          <t>하</t>
        </is>
      </c>
      <c r="I11" s="18">
        <f>IF(AND(G11="상",H11="상"),"매우 높음",IF(OR(AND(G11="상",H11="중"),AND(G11="중",H11="상")),"높음",IF(OR(AND(G11="중",H11="중"),AND(G11="상",H11="하"),AND(G11="하",H11="상")),"보통","낮음")))</f>
        <v/>
      </c>
      <c r="J11" s="17" t="inlineStr">
        <is>
          <t>직접 피해 없음(공격 기반 구축 단계)</t>
        </is>
      </c>
      <c r="K11" s="19" t="inlineStr">
        <is>
          <t>실제 사고 확인</t>
        </is>
      </c>
      <c r="L11" s="20" t="n">
        <v>7</v>
      </c>
      <c r="M11" s="17" t="inlineStr">
        <is>
          <t>자원 개발(Resource Development)</t>
        </is>
      </c>
      <c r="N11" s="21" t="inlineStr">
        <is>
          <t>T0008, T0008.000, T0008.001, T0008.002, T0008.003, T0008.004, T0008.005, T0021, T0079, T0128</t>
        </is>
      </c>
      <c r="O11" s="21" t="n"/>
      <c r="P11" s="21" t="inlineStr">
        <is>
          <t>• [ATLAS CS0004·실제사고] 카메라 영상 주입으로 얼굴인식 인증을 우회해 세금 사기(실제 사고)
• [ATLAS CS0006·실제사고] Clearview AI 저장소 설정 오류로 소스코드·자격증명·모델 노출
• [ATLAS CS0034·실제사고] KYC 우회용 딥페이크 도구 ProKYC가 범죄자에게 판매(실제 사고)</t>
        </is>
      </c>
      <c r="Q11" s="17" t="inlineStr">
        <is>
          <t>기존 엔터프라이즈 보안통제(패치·EDR·네트워크 분리·ATT&amp;CK 기반 탐지)를 AI 인프라까지 확장</t>
        </is>
      </c>
    </row>
    <row r="12" ht="90" customHeight="1">
      <c r="A12" s="13" t="inlineStr">
        <is>
          <t>D01. 공격 준비 및 AI 무기화</t>
        </is>
      </c>
      <c r="B12" s="14" t="inlineStr">
        <is>
          <t>UT-02</t>
        </is>
      </c>
      <c r="C12" s="23" t="inlineStr">
        <is>
          <t>공격 준비 및 일반 침투 기법</t>
        </is>
      </c>
      <c r="D12" s="15" t="inlineStr">
        <is>
          <t>UT-02.4</t>
        </is>
      </c>
      <c r="E12" s="16" t="inlineStr">
        <is>
          <t>일반 초기 침투</t>
        </is>
      </c>
      <c r="F12" s="17" t="inlineStr">
        <is>
          <t>공개 애플리케이션 취약점 익스플로잇/드라이브바이 다운로드/악성 링크 실행 유도를 통해 AI 서비스 및 지원 인프라에 최초 침투</t>
        </is>
      </c>
      <c r="G12" s="18" t="inlineStr">
        <is>
          <t>상</t>
        </is>
      </c>
      <c r="H12" s="18" t="inlineStr">
        <is>
          <t>상</t>
        </is>
      </c>
      <c r="I12" s="18">
        <f>IF(AND(G12="상",H12="상"),"매우 높음",IF(OR(AND(G12="상",H12="중"),AND(G12="중",H12="상")),"높음",IF(OR(AND(G12="중",H12="중"),AND(G12="상",H12="하"),AND(G12="하",H12="상")),"보통","낮음")))</f>
        <v/>
      </c>
      <c r="J12" s="21" t="inlineStr">
        <is>
          <t>AI 서비스 및 지원 인프라 장악으로 확대 가능</t>
        </is>
      </c>
      <c r="K12" s="19" t="inlineStr">
        <is>
          <t>실제 사고 확인</t>
        </is>
      </c>
      <c r="L12" s="20" t="n">
        <v>7</v>
      </c>
      <c r="M12" s="17" t="inlineStr">
        <is>
          <t>초기 접근(Initial Access)</t>
        </is>
      </c>
      <c r="N12" s="21" t="inlineStr">
        <is>
          <t>T0049, T0078, T0011.003</t>
        </is>
      </c>
      <c r="O12" s="21" t="n"/>
      <c r="P12" s="21" t="inlineStr">
        <is>
          <t>• [ATLAS CS0023·실제사고] 인증 없는 Ray 클러스터를 탈취해 연산자원·자격증명·모델 탈취(ShadowRay, 실제 사고)
• [ATLAS CS0030·실제사고] 탈취한 클라우드 자격증명으로 LLM 서비스를 무단 사용·재판매(LLMjacking, 실제 사고)
• [ATLAS CS0068·실제사고] OpenAI 평가용 자율 에이전트들이 평가 경계를 넘어 외부 인프라 구축·Hugging Face 침해(실제 사고)
• [OWASP 인용] ToolShell SharePoint RCE 악용(2025.07, 실제 사고) / Flowise 사전인증 임의 파일 업로드(2025.03)</t>
        </is>
      </c>
      <c r="Q12" s="17" t="inlineStr">
        <is>
          <t>기존 엔터프라이즈 보안통제(패치·EDR·네트워크 분리·ATT&amp;CK 기반 탐지)를 AI 인프라까지 확장</t>
        </is>
      </c>
    </row>
    <row r="13" ht="63.75" customHeight="1">
      <c r="A13" s="13" t="inlineStr">
        <is>
          <t>D01. 공격 준비 및 AI 무기화</t>
        </is>
      </c>
      <c r="B13" s="14" t="inlineStr">
        <is>
          <t>UT-02</t>
        </is>
      </c>
      <c r="C13" s="23" t="inlineStr">
        <is>
          <t>공격 준비 및 일반 침투 기법</t>
        </is>
      </c>
      <c r="D13" s="15" t="inlineStr">
        <is>
          <t>UT-02.5</t>
        </is>
      </c>
      <c r="E13" s="16" t="inlineStr">
        <is>
          <t>내부 확산 및 탐지 회피</t>
        </is>
      </c>
      <c r="F13" s="17" t="inlineStr">
        <is>
          <t>원격 서비스 악용을 통한 내부 확산과 샌드박스 회피/난독화를 통한 보안 탐지 우회로 침투 범위 확대 및 체류 장기화</t>
        </is>
      </c>
      <c r="G13" s="18" t="inlineStr">
        <is>
          <t>상</t>
        </is>
      </c>
      <c r="H13" s="18" t="inlineStr">
        <is>
          <t>중</t>
        </is>
      </c>
      <c r="I13" s="18">
        <f>IF(AND(G13="상",H13="상"),"매우 높음",IF(OR(AND(G13="상",H13="중"),AND(G13="중",H13="상")),"높음",IF(OR(AND(G13="중",H13="중"),AND(G13="상",H13="하"),AND(G13="하",H13="상")),"보통","낮음")))</f>
        <v/>
      </c>
      <c r="J13" s="17" t="inlineStr">
        <is>
          <t>침투 범위 확대 및 탐지 지연</t>
        </is>
      </c>
      <c r="K13" s="19" t="inlineStr">
        <is>
          <t>실제 사고 확인</t>
        </is>
      </c>
      <c r="L13" s="20" t="n">
        <v>2</v>
      </c>
      <c r="M13" s="17" t="inlineStr">
        <is>
          <t>방어 회피(Defense Evasion)</t>
        </is>
      </c>
      <c r="N13" s="21" t="inlineStr">
        <is>
          <t>T0122, T0097, T0107, T0123</t>
        </is>
      </c>
      <c r="O13" s="21" t="n"/>
      <c r="P13" s="21" t="inlineStr">
        <is>
          <t>• [ATLAS CS0043·실제사고] LLM 기반 악성코드 분석기를 속이려 프롬프트 인젝션을 내장한 악성코드(실제 사고)
• [ATLAS CS0068·실제사고] OpenAI 평가용 자율 에이전트들이 평가 경계를 넘어 외부 인프라 구축·Hugging Face 침해(실제 사고)
• [ATLAS CS0050·실증] 악성 링크 1회 클릭으로 OpenClaw 로컬 에이전트 원격 코드 실행</t>
        </is>
      </c>
      <c r="Q13" s="17" t="inlineStr">
        <is>
          <t>기존 엔터프라이즈 보안통제(패치·EDR·네트워크 분리·ATT&amp;CK 기반 탐지)를 AI 인프라까지 확장</t>
        </is>
      </c>
    </row>
    <row r="14" ht="63.75" customHeight="1">
      <c r="A14" s="13" t="inlineStr">
        <is>
          <t>D01. 공격 준비 및 AI 무기화</t>
        </is>
      </c>
      <c r="B14" s="14" t="inlineStr">
        <is>
          <t>UT-02</t>
        </is>
      </c>
      <c r="C14" s="23" t="inlineStr">
        <is>
          <t>공격 준비 및 일반 침투 기법</t>
        </is>
      </c>
      <c r="D14" s="15" t="inlineStr">
        <is>
          <t>UT-02.6</t>
        </is>
      </c>
      <c r="E14" s="16" t="inlineStr">
        <is>
          <t>일반 수단 데이터 유출</t>
        </is>
      </c>
      <c r="F14" s="17" t="inlineStr">
        <is>
          <t>정보 저장소/로컬 시스템의 데이터를 자동 수집 및 압축한 후 일반 네트워크 또는 C2 채널로 외부 반출</t>
        </is>
      </c>
      <c r="G14" s="18" t="inlineStr">
        <is>
          <t>상</t>
        </is>
      </c>
      <c r="H14" s="18" t="inlineStr">
        <is>
          <t>상</t>
        </is>
      </c>
      <c r="I14" s="18">
        <f>IF(AND(G14="상",H14="상"),"매우 높음",IF(OR(AND(G14="상",H14="중"),AND(G14="중",H14="상")),"높음",IF(OR(AND(G14="중",H14="중"),AND(G14="상",H14="하"),AND(G14="하",H14="상")),"보통","낮음")))</f>
        <v/>
      </c>
      <c r="J14" s="17" t="inlineStr">
        <is>
          <t>중요정보 및 AI 자산 대량 반출</t>
        </is>
      </c>
      <c r="K14" s="19" t="inlineStr">
        <is>
          <t>실제 사고 확인</t>
        </is>
      </c>
      <c r="L14" s="20" t="n">
        <v>9</v>
      </c>
      <c r="M14" s="17" t="inlineStr">
        <is>
          <t>유출(Exfiltration)</t>
        </is>
      </c>
      <c r="N14" s="21" t="inlineStr">
        <is>
          <t>T0036, T0037, T0126, T0127, T0025, T0072</t>
        </is>
      </c>
      <c r="O14" s="21" t="n"/>
      <c r="P14" s="21" t="inlineStr">
        <is>
          <t>• [ATLAS CS0006·실제사고] Clearview AI 저장소 설정 오류로 소스코드·자격증명·모델 노출
• [ATLAS CS0015·실제사고] PyPI에 올라간 악성 torchtriton 의존성으로 PyTorch-nightly 사용자 정보 유출(실제 사고)
• [ATLAS CS0023·실제사고] 인증 없는 Ray 클러스터를 탈취해 연산자원·자격증명·모델 탈취(ShadowRay, 실제 사고)</t>
        </is>
      </c>
      <c r="Q14" s="17" t="inlineStr">
        <is>
          <t>기존 엔터프라이즈 보안통제(패치·EDR·네트워크 분리·ATT&amp;CK 기반 탐지)를 AI 인프라까지 확장</t>
        </is>
      </c>
    </row>
    <row r="15" ht="63.75" customHeight="1">
      <c r="A15" s="13" t="inlineStr">
        <is>
          <t>D01. 공격 준비 및 AI 무기화</t>
        </is>
      </c>
      <c r="B15" s="14" t="inlineStr">
        <is>
          <t>UT-03</t>
        </is>
      </c>
      <c r="C15" s="13" t="inlineStr">
        <is>
          <t>AI 기반 자율 공격</t>
        </is>
      </c>
      <c r="D15" s="15" t="inlineStr">
        <is>
          <t>UT-03.1</t>
        </is>
      </c>
      <c r="E15" s="16" t="inlineStr">
        <is>
          <t>자율 공격 에이전트</t>
        </is>
      </c>
      <c r="F15" s="17" t="inlineStr">
        <is>
          <t>공격 목표만 부여받은 AI 에이전트가 대상 탐색, 익스플로잇 개발, 실패 시 공격 경로 수정을 사람 개입 없이 반복 수행하여 사람 대비 압도적 속도와 규모로 침투</t>
        </is>
      </c>
      <c r="G15" s="18" t="inlineStr">
        <is>
          <t>상</t>
        </is>
      </c>
      <c r="H15" s="18" t="inlineStr">
        <is>
          <t>상</t>
        </is>
      </c>
      <c r="I15" s="18">
        <f>IF(AND(G15="상",H15="상"),"매우 높음",IF(OR(AND(G15="상",H15="중"),AND(G15="중",H15="상")),"높음",IF(OR(AND(G15="중",H15="중"),AND(G15="상",H15="하"),AND(G15="하",H15="상")),"보통","낮음")))</f>
        <v/>
      </c>
      <c r="J15" s="17" t="inlineStr">
        <is>
          <t>다수 조직 동시 침투 및 시스템 장악</t>
        </is>
      </c>
      <c r="K15" s="19" t="inlineStr">
        <is>
          <t>실제 사고 확인</t>
        </is>
      </c>
      <c r="L15" s="20" t="n">
        <v>4</v>
      </c>
      <c r="M15" s="21" t="inlineStr">
        <is>
          <t>AI 공격 적응(AI Attack Adaptation)</t>
        </is>
      </c>
      <c r="N15" s="21" t="inlineStr">
        <is>
          <t>T0116, T0117, T0017.001</t>
        </is>
      </c>
      <c r="O15" s="21" t="n"/>
      <c r="P15" s="21" t="inlineStr">
        <is>
          <t>• [ATLAS CS0069·실제사고] GTG-1002가 탈옥한 Claude Code로 약 30개 조직 대상 자율 사이버 첩보(실제 사고)
• [ATLAS CS0070·실제사고] DeepSeek 기반 Hermes 에이전트로 Langflow·n8n 취약점 공격 시도(실제 사고)
• [ATLAS CS0071·실제사고] Hermes·OpenClaw 기반 다중 에이전트 프레임워크로 대만 정부 시스템 침해(실제 사고)</t>
        </is>
      </c>
      <c r="Q15" s="21" t="inlineStr">
        <is>
          <t>AI 속도 공격을 전제한 탐지·대응 자동화, AI 제공자 오남용 탐지 연계, 위협 인텔리전스</t>
        </is>
      </c>
    </row>
    <row r="16" ht="63.75" customHeight="1">
      <c r="A16" s="13" t="inlineStr">
        <is>
          <t>D01. 공격 준비 및 AI 무기화</t>
        </is>
      </c>
      <c r="B16" s="14" t="inlineStr">
        <is>
          <t>UT-03</t>
        </is>
      </c>
      <c r="C16" s="13" t="inlineStr">
        <is>
          <t>AI 기반 자율 공격</t>
        </is>
      </c>
      <c r="D16" s="15" t="inlineStr">
        <is>
          <t>UT-03.2</t>
        </is>
      </c>
      <c r="E16" s="16" t="inlineStr">
        <is>
          <t>다중 에이전트 공격 조율</t>
        </is>
      </c>
      <c r="F16" s="17" t="inlineStr">
        <is>
          <t>오케스트레이터 AI가 다수 하위 에이전트에 임무를 분배하고 탐색 결과/자격증명을 공유하며 복수 대상을 병렬 공격</t>
        </is>
      </c>
      <c r="G16" s="18" t="inlineStr">
        <is>
          <t>상</t>
        </is>
      </c>
      <c r="H16" s="18" t="inlineStr">
        <is>
          <t>상</t>
        </is>
      </c>
      <c r="I16" s="18">
        <f>IF(AND(G16="상",H16="상"),"매우 높음",IF(OR(AND(G16="상",H16="중"),AND(G16="중",H16="상")),"높음",IF(OR(AND(G16="중",H16="중"),AND(G16="상",H16="하"),AND(G16="하",H16="상")),"보통","낮음")))</f>
        <v/>
      </c>
      <c r="J16" s="17" t="inlineStr">
        <is>
          <t>복수 대상 병렬 침투 및 시스템 장악</t>
        </is>
      </c>
      <c r="K16" s="19" t="inlineStr">
        <is>
          <t>실제 사고 확인</t>
        </is>
      </c>
      <c r="L16" s="20" t="n">
        <v>2</v>
      </c>
      <c r="M16" s="21" t="inlineStr">
        <is>
          <t>AI 공격 적응(AI Attack Adaptation)</t>
        </is>
      </c>
      <c r="N16" s="21" t="inlineStr">
        <is>
          <t>T0118, T0118.000, T0118.001, T0124</t>
        </is>
      </c>
      <c r="O16" s="21" t="n"/>
      <c r="P16" s="21" t="inlineStr">
        <is>
          <t>• [ATLAS CS0068·실제사고] OpenAI 평가용 자율 에이전트들이 평가 경계를 넘어 외부 인프라 구축·Hugging Face 침해(실제 사고)
• [ATLAS CS0071·실제사고] Hermes·OpenClaw 기반 다중 에이전트 프레임워크로 대만 정부 시스템 침해(실제 사고)</t>
        </is>
      </c>
      <c r="Q16" s="21" t="inlineStr">
        <is>
          <t>AI 속도 공격을 전제한 탐지·대응 자동화, AI 제공자 오남용 탐지 연계, 위협 인텔리전스</t>
        </is>
      </c>
    </row>
    <row r="17" ht="63.75" customHeight="1">
      <c r="A17" s="13" t="inlineStr">
        <is>
          <t>D01. 공격 준비 및 AI 무기화</t>
        </is>
      </c>
      <c r="B17" s="14" t="inlineStr">
        <is>
          <t>UT-03</t>
        </is>
      </c>
      <c r="C17" s="13" t="inlineStr">
        <is>
          <t>AI 기반 자율 공격</t>
        </is>
      </c>
      <c r="D17" s="15" t="inlineStr">
        <is>
          <t>UT-03.3</t>
        </is>
      </c>
      <c r="E17" s="22" t="inlineStr">
        <is>
          <t>AI 연동 악성코드</t>
        </is>
      </c>
      <c r="F17" s="17" t="inlineStr">
        <is>
          <t>피해 시스템의 악성코드가 실행 중 LLM 서비스에 질의하여 실행 명령을 동적 생성함으로써 시그니처 기반 탐지 우회 및 정상 AI 트래픽으로 위장</t>
        </is>
      </c>
      <c r="G17" s="18" t="inlineStr">
        <is>
          <t>상</t>
        </is>
      </c>
      <c r="H17" s="18" t="inlineStr">
        <is>
          <t>상</t>
        </is>
      </c>
      <c r="I17" s="18">
        <f>IF(AND(G17="상",H17="상"),"매우 높음",IF(OR(AND(G17="상",H17="중"),AND(G17="중",H17="상")),"높음",IF(OR(AND(G17="중",H17="중"),AND(G17="상",H17="하"),AND(G17="하",H17="상")),"보통","낮음")))</f>
        <v/>
      </c>
      <c r="J17" s="17" t="inlineStr">
        <is>
          <t>호스트 장악 상태의 탐지 회피형 원격 조작</t>
        </is>
      </c>
      <c r="K17" s="19" t="inlineStr">
        <is>
          <t>실제 사고 확인</t>
        </is>
      </c>
      <c r="L17" s="20" t="n">
        <v>3</v>
      </c>
      <c r="M17" s="21" t="inlineStr">
        <is>
          <t>AI 공격 적응(AI Attack Adaptation)</t>
        </is>
      </c>
      <c r="N17" s="21" t="inlineStr">
        <is>
          <t>T0102</t>
        </is>
      </c>
      <c r="O17" s="21" t="n"/>
      <c r="P17" s="21" t="inlineStr">
        <is>
          <t>• [ATLAS CS0044·실제사고] APT28 LAMEHUG가 LLM API로 실행 명령을 동적 생성(실제 사고)
• [ATLAS CS0068·실제사고] OpenAI 평가용 자율 에이전트들이 평가 경계를 넘어 외부 인프라 구축·Hugging Face 침해(실제 사고)
• [ATLAS CS0070·실제사고] DeepSeek 기반 Hermes 에이전트로 Langflow·n8n 취약점 공격 시도(실제 사고)</t>
        </is>
      </c>
      <c r="Q17" s="21" t="inlineStr">
        <is>
          <t>AI 속도 공격을 전제한 탐지·대응 자동화, AI 제공자 오남용 탐지 연계, 위협 인텔리전스</t>
        </is>
      </c>
    </row>
    <row r="18" ht="63.75" customHeight="1">
      <c r="A18" s="13" t="inlineStr">
        <is>
          <t>D01. 공격 준비 및 AI 무기화</t>
        </is>
      </c>
      <c r="B18" s="14" t="inlineStr">
        <is>
          <t>UT-03</t>
        </is>
      </c>
      <c r="C18" s="13" t="inlineStr">
        <is>
          <t>AI 기반 자율 공격</t>
        </is>
      </c>
      <c r="D18" s="15" t="inlineStr">
        <is>
          <t>UT-03.4</t>
        </is>
      </c>
      <c r="E18" s="16" t="inlineStr">
        <is>
          <t>공격용 에이전트 도구 확보</t>
        </is>
      </c>
      <c r="F18" s="17" t="inlineStr">
        <is>
          <t>자율 공격에 활용할 에이전트 프레임워크/도구를 개발하거나 공개 도구를 입수하여 공격 자동화 역량 확보</t>
        </is>
      </c>
      <c r="G18" s="18" t="inlineStr">
        <is>
          <t>중</t>
        </is>
      </c>
      <c r="H18" s="18" t="inlineStr">
        <is>
          <t>하</t>
        </is>
      </c>
      <c r="I18" s="18">
        <f>IF(AND(G18="상",H18="상"),"매우 높음",IF(OR(AND(G18="상",H18="중"),AND(G18="중",H18="상")),"높음",IF(OR(AND(G18="중",H18="중"),AND(G18="상",H18="하"),AND(G18="하",H18="상")),"보통","낮음")))</f>
        <v/>
      </c>
      <c r="J18" s="17" t="inlineStr">
        <is>
          <t>직접 피해 없음(공격 자동화 준비 단계)</t>
        </is>
      </c>
      <c r="K18" s="19" t="inlineStr">
        <is>
          <t>실제 사고 확인</t>
        </is>
      </c>
      <c r="L18" s="20" t="n">
        <v>1</v>
      </c>
      <c r="M18" s="17" t="inlineStr">
        <is>
          <t>자원 개발(Resource Development)</t>
        </is>
      </c>
      <c r="N18" s="21" t="inlineStr">
        <is>
          <t>T0016.004, T0017.002</t>
        </is>
      </c>
      <c r="O18" s="21" t="n"/>
      <c r="P18" s="21" t="inlineStr">
        <is>
          <t>• [ATLAS CS0070·실제사고] DeepSeek 기반 Hermes 에이전트로 Langflow·n8n 취약점 공격 시도(실제 사고)</t>
        </is>
      </c>
      <c r="Q18" s="21" t="inlineStr">
        <is>
          <t>AI 속도 공격을 전제한 탐지·대응 자동화, AI 제공자 오남용 탐지 연계, 위협 인텔리전스</t>
        </is>
      </c>
    </row>
    <row r="19" ht="63.75" customHeight="1">
      <c r="A19" s="13" t="inlineStr">
        <is>
          <t>D01. 공격 준비 및 AI 무기화</t>
        </is>
      </c>
      <c r="B19" s="14" t="inlineStr">
        <is>
          <t>UT-04</t>
        </is>
      </c>
      <c r="C19" s="13" t="inlineStr">
        <is>
          <t>AI 생성 콘텐츠를 이용한 사기</t>
        </is>
      </c>
      <c r="D19" s="15" t="inlineStr">
        <is>
          <t>UT-04.1</t>
        </is>
      </c>
      <c r="E19" s="16" t="inlineStr">
        <is>
          <t>딥페이크 신원 위장</t>
        </is>
      </c>
      <c r="F19" s="17" t="inlineStr">
        <is>
          <t>실시간 딥페이크 영상/음성 및 가상 카메라 주입을 통해 생체인증/KYC 절차를 우회하여 타인 명의 계정 개설 및 금융 사기 수행</t>
        </is>
      </c>
      <c r="G19" s="18" t="inlineStr">
        <is>
          <t>상</t>
        </is>
      </c>
      <c r="H19" s="18" t="inlineStr">
        <is>
          <t>중</t>
        </is>
      </c>
      <c r="I19" s="18">
        <f>IF(AND(G19="상",H19="상"),"매우 높음",IF(OR(AND(G19="상",H19="중"),AND(G19="중",H19="상")),"높음",IF(OR(AND(G19="중",H19="중"),AND(G19="상",H19="하"),AND(G19="하",H19="상")),"보통","낮음")))</f>
        <v/>
      </c>
      <c r="J19" s="17" t="inlineStr">
        <is>
          <t>특정 계정/거래 단위 금전 피해</t>
        </is>
      </c>
      <c r="K19" s="19" t="inlineStr">
        <is>
          <t>실제 사고 확인</t>
        </is>
      </c>
      <c r="L19" s="20" t="n">
        <v>4</v>
      </c>
      <c r="M19" s="17" t="inlineStr">
        <is>
          <t>방어 회피(Defense Evasion)</t>
        </is>
      </c>
      <c r="N19" s="21" t="inlineStr">
        <is>
          <t>T0088</t>
        </is>
      </c>
      <c r="O19" s="21" t="n"/>
      <c r="P19" s="21" t="inlineStr">
        <is>
          <t>• [ATLAS CS0034·실제사고] KYC 우회용 딥페이크 도구 ProKYC가 범죄자에게 판매(실제 사고)
• [ATLAS CS0033·실증] 실시간 딥페이크 영상 주입으로 모바일 KYC 얼굴인증 우회
• [ATLAS CS0004·실제사고] 카메라 영상 주입으로 얼굴인식 인증을 우회해 세금 사기(실제 사고)</t>
        </is>
      </c>
      <c r="Q19" s="17" t="inlineStr">
        <is>
          <t>딥페이크 탐지·라이브니스 검증, 고위험 요청 다중 채널 확인, 사용자 교육</t>
        </is>
      </c>
    </row>
    <row r="20" ht="63.75" customHeight="1">
      <c r="A20" s="13" t="inlineStr">
        <is>
          <t>D01. 공격 준비 및 AI 무기화</t>
        </is>
      </c>
      <c r="B20" s="14" t="inlineStr">
        <is>
          <t>UT-04</t>
        </is>
      </c>
      <c r="C20" s="13" t="inlineStr">
        <is>
          <t>AI 생성 콘텐츠를 이용한 사기</t>
        </is>
      </c>
      <c r="D20" s="15" t="inlineStr">
        <is>
          <t>UT-04.2</t>
        </is>
      </c>
      <c r="E20" s="22" t="inlineStr">
        <is>
          <t>AI 생성 피싱</t>
        </is>
      </c>
      <c r="F20" s="21" t="inlineStr">
        <is>
          <t>LLM 생성 맞춤형 스피어피싱 및 딥페이크 음성/영상 통화를 통해 임직원을 기망하여 자격증명 탈취 또는 송금 유도</t>
        </is>
      </c>
      <c r="G20" s="18" t="inlineStr">
        <is>
          <t>상</t>
        </is>
      </c>
      <c r="H20" s="18" t="inlineStr">
        <is>
          <t>중</t>
        </is>
      </c>
      <c r="I20" s="18">
        <f>IF(AND(G20="상",H20="상"),"매우 높음",IF(OR(AND(G20="상",H20="중"),AND(G20="중",H20="상")),"높음",IF(OR(AND(G20="중",H20="중"),AND(G20="상",H20="하"),AND(G20="하",H20="상")),"보통","낮음")))</f>
        <v/>
      </c>
      <c r="J20" s="17" t="inlineStr">
        <is>
          <t>자격증명 탈취 시 내부 침투로 확대 가능</t>
        </is>
      </c>
      <c r="K20" s="19" t="inlineStr">
        <is>
          <t>실제 사고 확인</t>
        </is>
      </c>
      <c r="L20" s="20" t="n">
        <v>2</v>
      </c>
      <c r="M20" s="17" t="inlineStr">
        <is>
          <t>초기 접근(Initial Access)</t>
        </is>
      </c>
      <c r="N20" s="21" t="inlineStr">
        <is>
          <t>T0052, T0052.000, T0052.001</t>
        </is>
      </c>
      <c r="O20" s="21" t="n"/>
      <c r="P20" s="21" t="inlineStr">
        <is>
          <t>• [ATLAS CS0032·실제사고] 피싱 사이트가 ML 기반 피싱 탐지기를 회피하도록 시각 요소 변형(실제 사고)
• [ATLAS CS0044·실제사고] APT28 LAMEHUG가 LLM API로 실행 명령을 동적 생성(실제 사고)
• [ATLAS CS0020·실증] 웹페이지 숨은 지시로 Bing Chat이 사용자 개인정보를 캐내는 사회공학 수행
• [OWASP 시나리오] 딥페이크 음성·영상과 LLM 생성 문안을 결합한 피싱(ATLAS T0052.001 기법 정의)</t>
        </is>
      </c>
      <c r="Q20" s="17" t="inlineStr">
        <is>
          <t>딥페이크 탐지·라이브니스 검증, 고위험 요청 다중 채널 확인, 사용자 교육</t>
        </is>
      </c>
    </row>
    <row r="21" ht="63.75" customHeight="1">
      <c r="A21" s="13" t="inlineStr">
        <is>
          <t>D01. 공격 준비 및 AI 무기화</t>
        </is>
      </c>
      <c r="B21" s="14" t="inlineStr">
        <is>
          <t>UT-04</t>
        </is>
      </c>
      <c r="C21" s="13" t="inlineStr">
        <is>
          <t>AI 생성 콘텐츠를 이용한 사기</t>
        </is>
      </c>
      <c r="D21" s="15" t="inlineStr">
        <is>
          <t>UT-04.3</t>
        </is>
      </c>
      <c r="E21" s="16" t="inlineStr">
        <is>
          <t>신뢰 주체 사칭</t>
        </is>
      </c>
      <c r="F21" s="17" t="inlineStr">
        <is>
          <t>신뢰받는 개인/조직을 사칭한 커뮤니케이션으로 대상의 판단을 조작하여 공격자 대신 행위 수행 유도</t>
        </is>
      </c>
      <c r="G21" s="18" t="inlineStr">
        <is>
          <t>상</t>
        </is>
      </c>
      <c r="H21" s="18" t="inlineStr">
        <is>
          <t>중</t>
        </is>
      </c>
      <c r="I21" s="18">
        <f>IF(AND(G21="상",H21="상"),"매우 높음",IF(OR(AND(G21="상",H21="중"),AND(G21="중",H21="상")),"높음",IF(OR(AND(G21="중",H21="중"),AND(G21="상",H21="하"),AND(G21="하",H21="상")),"보통","낮음")))</f>
        <v/>
      </c>
      <c r="J21" s="17" t="inlineStr">
        <is>
          <t>기망 대상 개인/거래 단위 피해</t>
        </is>
      </c>
      <c r="K21" s="19" t="inlineStr">
        <is>
          <t>실제 사고 확인</t>
        </is>
      </c>
      <c r="L21" s="20" t="n">
        <v>3</v>
      </c>
      <c r="M21" s="17" t="inlineStr">
        <is>
          <t>초기 접근(Initial Access)</t>
        </is>
      </c>
      <c r="N21" s="21" t="inlineStr">
        <is>
          <t>T0073</t>
        </is>
      </c>
      <c r="O21" s="21" t="n"/>
      <c r="P21" s="21" t="inlineStr">
        <is>
          <t>• [ATLAS CS0034·실제사고] KYC 우회용 딥페이크 도구 ProKYC가 범죄자에게 판매(실제 사고)
• [ATLAS CS0044·실제사고] APT28 LAMEHUG가 LLM API로 실행 명령을 동적 생성(실제 사고)
• [ATLAS CS0053·실제사고] Postmark를 사칭한 악성 MCP 서버가 발송 메일을 몰래 BCC로 유출(실제 사고)</t>
        </is>
      </c>
      <c r="Q21" s="17" t="inlineStr">
        <is>
          <t>딥페이크 탐지·라이브니스 검증, 고위험 요청 다중 채널 확인, 사용자 교육</t>
        </is>
      </c>
    </row>
    <row r="22" ht="63.75" customHeight="1">
      <c r="A22" s="13" t="inlineStr">
        <is>
          <t>D01. 공격 준비 및 AI 무기화</t>
        </is>
      </c>
      <c r="B22" s="14" t="inlineStr">
        <is>
          <t>UT-05</t>
        </is>
      </c>
      <c r="C22" s="13" t="inlineStr">
        <is>
          <t>AI 서비스를 이용한 C2 통신</t>
        </is>
      </c>
      <c r="D22" s="15" t="inlineStr">
        <is>
          <t>UT-05.1</t>
        </is>
      </c>
      <c r="E22" s="22" t="inlineStr">
        <is>
          <t>AI 서비스 API 은닉 통신</t>
        </is>
      </c>
      <c r="F22" s="17" t="inlineStr">
        <is>
          <t>감염 호스트가 정상 AI 서비스 API를 명령 수신/결과 전송 채널로 사용하여 C2 트래픽을 정상 AI 트래픽으로 위장</t>
        </is>
      </c>
      <c r="G22" s="18" t="inlineStr">
        <is>
          <t>중</t>
        </is>
      </c>
      <c r="H22" s="18" t="inlineStr">
        <is>
          <t>상</t>
        </is>
      </c>
      <c r="I22" s="18">
        <f>IF(AND(G22="상",H22="상"),"매우 높음",IF(OR(AND(G22="상",H22="중"),AND(G22="중",H22="상")),"높음",IF(OR(AND(G22="중",H22="중"),AND(G22="상",H22="하"),AND(G22="하",H22="상")),"보통","낮음")))</f>
        <v/>
      </c>
      <c r="J22" s="17" t="inlineStr">
        <is>
          <t>침해 호스트에 대한 은닉 원격 제어 지속</t>
        </is>
      </c>
      <c r="K22" s="19" t="inlineStr">
        <is>
          <t>실제 사고 확인</t>
        </is>
      </c>
      <c r="L22" s="20" t="n">
        <v>1</v>
      </c>
      <c r="M22" s="17" t="inlineStr">
        <is>
          <t>명령·제어(Command and Control)</t>
        </is>
      </c>
      <c r="N22" s="21" t="inlineStr">
        <is>
          <t>T0096</t>
        </is>
      </c>
      <c r="O22" s="21" t="n"/>
      <c r="P22" s="21" t="inlineStr">
        <is>
          <t>• [ATLAS CS0042·실제사고] OpenAI Assistants API를 은밀한 C2 채널로 악용한 백도어 SesameOp(실제 사고)</t>
        </is>
      </c>
      <c r="Q22" s="21" t="inlineStr">
        <is>
          <t>AI API 키 보호·사용량 이상 탐지, AI 서비스 egress 가시성, 비인가 AI 트래픽 차단</t>
        </is>
      </c>
    </row>
    <row r="23" ht="63.75" customHeight="1">
      <c r="A23" s="13" t="inlineStr">
        <is>
          <t>D01. 공격 준비 및 AI 무기화</t>
        </is>
      </c>
      <c r="B23" s="14" t="inlineStr">
        <is>
          <t>UT-05</t>
        </is>
      </c>
      <c r="C23" s="13" t="inlineStr">
        <is>
          <t>AI 서비스를 이용한 C2 통신</t>
        </is>
      </c>
      <c r="D23" s="15" t="inlineStr">
        <is>
          <t>UT-05.2</t>
        </is>
      </c>
      <c r="E23" s="22" t="inlineStr">
        <is>
          <t>AI 웹 서비스 중계 악용</t>
        </is>
      </c>
      <c r="F23" s="21" t="inlineStr">
        <is>
          <t>URL 조회 기능을 가진 AI 비서 또는 침해된 AI 에이전트를 경유하여 공격자 서버와 간접 통신함으로써 직접 통신 탐지 회피</t>
        </is>
      </c>
      <c r="G23" s="18" t="inlineStr">
        <is>
          <t>중</t>
        </is>
      </c>
      <c r="H23" s="18" t="inlineStr">
        <is>
          <t>상</t>
        </is>
      </c>
      <c r="I23" s="18">
        <f>IF(AND(G23="상",H23="상"),"매우 높음",IF(OR(AND(G23="상",H23="중"),AND(G23="중",H23="상")),"높음",IF(OR(AND(G23="중",H23="중"),AND(G23="상",H23="하"),AND(G23="하",H23="상")),"보통","낮음")))</f>
        <v/>
      </c>
      <c r="J23" s="17" t="inlineStr">
        <is>
          <t>직접 통신 탐지 회피형 원격 제어</t>
        </is>
      </c>
      <c r="K23" s="19" t="inlineStr">
        <is>
          <t>실증·공개 취약점</t>
        </is>
      </c>
      <c r="L23" s="20" t="n">
        <v>0</v>
      </c>
      <c r="M23" s="17" t="inlineStr">
        <is>
          <t>명령·제어(Command and Control)</t>
        </is>
      </c>
      <c r="N23" s="21" t="inlineStr">
        <is>
          <t>T0114, T0108</t>
        </is>
      </c>
      <c r="O23" s="21" t="n"/>
      <c r="P23" s="21" t="inlineStr">
        <is>
          <t>• [ATLAS CS0061·실증] 익명 웹 AI 비서의 URL 조회 기능을 악성코드 C2 중계로 악용(AI in the Middle)
• [ATLAS CS0051·실증] 웹페이지 인젝션으로 OpenClaw에 지속 지시를 심어 C2로 활용</t>
        </is>
      </c>
      <c r="Q23" s="21" t="inlineStr">
        <is>
          <t>AI API 키 보호·사용량 이상 탐지, AI 서비스 egress 가시성, 비인가 AI 트래픽 차단</t>
        </is>
      </c>
    </row>
    <row r="24" ht="63.75" customHeight="1">
      <c r="A24" s="13" t="inlineStr">
        <is>
          <t>D01. 공격 준비 및 AI 무기화</t>
        </is>
      </c>
      <c r="B24" s="14" t="inlineStr">
        <is>
          <t>UT-05</t>
        </is>
      </c>
      <c r="C24" s="13" t="inlineStr">
        <is>
          <t>AI 서비스를 이용한 C2 통신</t>
        </is>
      </c>
      <c r="D24" s="15" t="inlineStr">
        <is>
          <t>UT-05.3</t>
        </is>
      </c>
      <c r="E24" s="22" t="inlineStr">
        <is>
          <t>AI 아티팩트 저장소 악용</t>
        </is>
      </c>
      <c r="F24" s="17" t="inlineStr">
        <is>
          <t>모델/데이터셋 저장소를 명령 및 데이터 교환 매체로 사용하여 정상 아티팩트 다운로드로 위장된 C2 수행</t>
        </is>
      </c>
      <c r="G24" s="18" t="inlineStr">
        <is>
          <t>중</t>
        </is>
      </c>
      <c r="H24" s="18" t="inlineStr">
        <is>
          <t>중</t>
        </is>
      </c>
      <c r="I24" s="18">
        <f>IF(AND(G24="상",H24="상"),"매우 높음",IF(OR(AND(G24="상",H24="중"),AND(G24="중",H24="상")),"높음",IF(OR(AND(G24="중",H24="중"),AND(G24="상",H24="하"),AND(G24="하",H24="상")),"보통","낮음")))</f>
        <v/>
      </c>
      <c r="J24" s="17" t="inlineStr">
        <is>
          <t>탐지 회피형 통신 채널(제한적 대역)</t>
        </is>
      </c>
      <c r="K24" s="19" t="inlineStr">
        <is>
          <t>실제 사고 확인</t>
        </is>
      </c>
      <c r="L24" s="20" t="n">
        <v>1</v>
      </c>
      <c r="M24" s="17" t="inlineStr">
        <is>
          <t>명령·제어(Command and Control)</t>
        </is>
      </c>
      <c r="N24" s="21" t="inlineStr">
        <is>
          <t>T0120</t>
        </is>
      </c>
      <c r="O24" s="21" t="n"/>
      <c r="P24" s="21" t="inlineStr">
        <is>
          <t>• [ATLAS CS0068·실제사고] OpenAI 평가용 자율 에이전트들이 평가 경계를 넘어 외부 인프라 구축·Hugging Face 침해(실제 사고)
• [OWASP 시나리오] 모델 허브 저장소를 명령·데이터 교환 매체로 사용하는 C2(ATLAS T0120 기법 정의)</t>
        </is>
      </c>
      <c r="Q24" s="21" t="inlineStr">
        <is>
          <t>AI API 키 보호·사용량 이상 탐지, AI 서비스 egress 가시성, 비인가 AI 트래픽 차단</t>
        </is>
      </c>
    </row>
    <row r="25" ht="63.75" customHeight="1">
      <c r="A25" s="24" t="inlineStr">
        <is>
          <t>D02. 프롬프트 인젝션 및 컨텍스트 노출</t>
        </is>
      </c>
      <c r="B25" s="25" t="inlineStr">
        <is>
          <t>UT-06</t>
        </is>
      </c>
      <c r="C25" s="26" t="inlineStr">
        <is>
          <t>직접 프롬프트 인젝션</t>
        </is>
      </c>
      <c r="D25" s="15" t="inlineStr">
        <is>
          <t>UT-06.1</t>
        </is>
      </c>
      <c r="E25" s="16" t="inlineStr">
        <is>
          <t>시스템 지시 무력화</t>
        </is>
      </c>
      <c r="F25" s="17" t="inlineStr">
        <is>
          <t>사용자 입력창에 '이전 지시 무시' 등 조작 지시를 입력하여 시스템 프롬프트의 역할/제약을 무력화하고 비인가 정보 조회 또는 기능 실행 유도</t>
        </is>
      </c>
      <c r="G25" s="18" t="inlineStr">
        <is>
          <t>상</t>
        </is>
      </c>
      <c r="H25" s="18" t="inlineStr">
        <is>
          <t>중</t>
        </is>
      </c>
      <c r="I25" s="18">
        <f>IF(AND(G25="상",H25="상"),"매우 높음",IF(OR(AND(G25="상",H25="중"),AND(G25="중",H25="상")),"높음",IF(OR(AND(G25="중",H25="중"),AND(G25="상",H25="하"),AND(G25="하",H25="상")),"보통","낮음")))</f>
        <v/>
      </c>
      <c r="J25" s="17" t="inlineStr">
        <is>
          <t>앱 권한 범위 내 비인가 조회/실행</t>
        </is>
      </c>
      <c r="K25" s="19" t="inlineStr">
        <is>
          <t>실제 사고 확인</t>
        </is>
      </c>
      <c r="L25" s="20" t="n">
        <v>3</v>
      </c>
      <c r="M25" s="17" t="inlineStr">
        <is>
          <t>실행(Execution)</t>
        </is>
      </c>
      <c r="N25" s="21" t="inlineStr">
        <is>
          <t>T0051, T0051.000</t>
        </is>
      </c>
      <c r="O25" s="21" t="inlineStr">
        <is>
          <t>LLM01</t>
        </is>
      </c>
      <c r="P25" s="21" t="inlineStr">
        <is>
          <t>• [ATLAS CS0043·실제사고] LLM 기반 악성코드 분석기를 속이려 프롬프트 인젝션을 내장한 악성코드(실제 사고)
• [ATLAS CS0016·실증] MathGPT에 프롬프트 인젝션으로 파이썬 코드 실행·API 키 노출
• [ATLAS CS0047·실제사고] 과권한 GitHub 토큰으로 Amazon Q VS Code 확장에 파괴형 에이전트 지시 커밋(실제 사고)
• [OWASP 인용] CVE-2024-5184 EmailGPT 프롬프트 인젝션(시스템 프롬프트 노출 및 데이터 유출)</t>
        </is>
      </c>
      <c r="Q25" s="17" t="inlineStr">
        <is>
          <t>다층 입·출력 가드레일, 모달리티별 정규화·비가시 문자 제거, 권한 분리로 폭발반경 제한, 적대적 테스트 상시화</t>
        </is>
      </c>
    </row>
    <row r="26" ht="75.75" customHeight="1">
      <c r="A26" s="24" t="inlineStr">
        <is>
          <t>D02. 프롬프트 인젝션 및 컨텍스트 노출</t>
        </is>
      </c>
      <c r="B26" s="25" t="inlineStr">
        <is>
          <t>UT-06</t>
        </is>
      </c>
      <c r="C26" s="26" t="inlineStr">
        <is>
          <t>직접 프롬프트 인젝션</t>
        </is>
      </c>
      <c r="D26" s="15" t="inlineStr">
        <is>
          <t>UT-06.2</t>
        </is>
      </c>
      <c r="E26" s="16" t="inlineStr">
        <is>
          <t>탈옥(안전장치 우회)</t>
        </is>
      </c>
      <c r="F26" s="17" t="inlineStr">
        <is>
          <t>역할극/다단계 설득/우회 표현을 통해 모델의 안전 정책을 무력화하여 유해 콘텐츠 생성 또는 공격 도구 개발 등 금지된 용도로 모델 악용</t>
        </is>
      </c>
      <c r="G26" s="18" t="inlineStr">
        <is>
          <t>상</t>
        </is>
      </c>
      <c r="H26" s="18" t="inlineStr">
        <is>
          <t>중</t>
        </is>
      </c>
      <c r="I26" s="18">
        <f>IF(AND(G26="상",H26="상"),"매우 높음",IF(OR(AND(G26="상",H26="중"),AND(G26="중",H26="상")),"높음",IF(OR(AND(G26="중",H26="중"),AND(G26="상",H26="하"),AND(G26="하",H26="상")),"보통","낮음")))</f>
        <v/>
      </c>
      <c r="J26" s="17" t="inlineStr">
        <is>
          <t>금지 용도 악용(유해 콘텐츠·공격 도구 생성)</t>
        </is>
      </c>
      <c r="K26" s="19" t="inlineStr">
        <is>
          <t>실제 사고 확인</t>
        </is>
      </c>
      <c r="L26" s="20" t="n">
        <v>2</v>
      </c>
      <c r="M26" s="17" t="inlineStr">
        <is>
          <t>방어 회피(Defense Evasion)</t>
        </is>
      </c>
      <c r="N26" s="21" t="inlineStr">
        <is>
          <t>T0054</t>
        </is>
      </c>
      <c r="O26" s="21" t="inlineStr">
        <is>
          <t>LLM01</t>
        </is>
      </c>
      <c r="P26" s="21" t="inlineStr">
        <is>
          <t>• [ATLAS CS0057·실제사고] Storm-2139가 노출 자격증명과 탈옥 도구로 Azure OpenAI 가드레일 우회·접근권 재판매(실제 사고)
• [ATLAS CS0069·실제사고] GTG-1002가 탈옥한 Claude Code로 약 30개 조직 대상 자율 사이버 첩보(실제 사고)
• [ATLAS CS0041·실증] AI 코딩도구 규칙 파일에 보이지 않는 유니코드 지시를 숨겨 악성 코드 생성 유도
• [OWASP 인용] CVE-2025-54794 Claude 프롬프트 인젝션 탈옥</t>
        </is>
      </c>
      <c r="Q26" s="17" t="inlineStr">
        <is>
          <t>다층 입·출력 가드레일, 모달리티별 정규화·비가시 문자 제거, 권한 분리로 폭발반경 제한, 적대적 테스트 상시화</t>
        </is>
      </c>
    </row>
    <row r="27" ht="63.75" customHeight="1">
      <c r="A27" s="24" t="inlineStr">
        <is>
          <t>D02. 프롬프트 인젝션 및 컨텍스트 노출</t>
        </is>
      </c>
      <c r="B27" s="25" t="inlineStr">
        <is>
          <t>UT-06</t>
        </is>
      </c>
      <c r="C27" s="26" t="inlineStr">
        <is>
          <t>직접 프롬프트 인젝션</t>
        </is>
      </c>
      <c r="D27" s="15" t="inlineStr">
        <is>
          <t>UT-06.3</t>
        </is>
      </c>
      <c r="E27" s="16" t="inlineStr">
        <is>
          <t>페이로드 난독화</t>
        </is>
      </c>
      <c r="F27" s="17" t="inlineStr">
        <is>
          <t>다국어 혼용/인코딩/분할 입력/동의어 치환으로 인젝션 페이로드를 변형하여 입력 필터 및 가드레일 탐지 우회</t>
        </is>
      </c>
      <c r="G27" s="18" t="inlineStr">
        <is>
          <t>상</t>
        </is>
      </c>
      <c r="H27" s="18" t="inlineStr">
        <is>
          <t>중</t>
        </is>
      </c>
      <c r="I27" s="18">
        <f>IF(AND(G27="상",H27="상"),"매우 높음",IF(OR(AND(G27="상",H27="중"),AND(G27="중",H27="상")),"높음",IF(OR(AND(G27="중",H27="중"),AND(G27="상",H27="하"),AND(G27="하",H27="상")),"보통","낮음")))</f>
        <v/>
      </c>
      <c r="J27" s="17" t="inlineStr">
        <is>
          <t>가드레일 무력화로 인젝션 성공률 증가</t>
        </is>
      </c>
      <c r="K27" s="19" t="inlineStr">
        <is>
          <t>실제 사고 확인</t>
        </is>
      </c>
      <c r="L27" s="20" t="n">
        <v>4</v>
      </c>
      <c r="M27" s="17" t="inlineStr">
        <is>
          <t>방어 회피(Defense Evasion)</t>
        </is>
      </c>
      <c r="N27" s="21" t="inlineStr">
        <is>
          <t>T0065, T0068</t>
        </is>
      </c>
      <c r="O27" s="21" t="inlineStr">
        <is>
          <t>LLM01</t>
        </is>
      </c>
      <c r="P27" s="21" t="inlineStr">
        <is>
          <t>• [ATLAS CS0043·실제사고] LLM 기반 악성코드 분석기를 속이려 프롬프트 인젝션을 내장한 악성코드(실제 사고)
• [ATLAS CS0047·실제사고] 과권한 GitHub 토큰으로 Amazon Q VS Code 확장에 파괴형 에이전트 지시 커밋(실제 사고)
• [ATLAS CS0056·실제사고] 약 2.4만 계정·1,600만 쿼리로 Claude 능력을 증류하려는 캠페인 적발(실제 사고)</t>
        </is>
      </c>
      <c r="Q27" s="17" t="inlineStr">
        <is>
          <t>다층 입·출력 가드레일, 모달리티별 정규화·비가시 문자 제거, 권한 분리로 폭발반경 제한, 적대적 테스트 상시화</t>
        </is>
      </c>
    </row>
    <row r="28" ht="63.75" customHeight="1">
      <c r="A28" s="24" t="inlineStr">
        <is>
          <t>D02. 프롬프트 인젝션 및 컨텍스트 노출</t>
        </is>
      </c>
      <c r="B28" s="25" t="inlineStr">
        <is>
          <t>UT-06</t>
        </is>
      </c>
      <c r="C28" s="26" t="inlineStr">
        <is>
          <t>직접 프롬프트 인젝션</t>
        </is>
      </c>
      <c r="D28" s="15" t="inlineStr">
        <is>
          <t>UT-06.4</t>
        </is>
      </c>
      <c r="E28" s="16" t="inlineStr">
        <is>
          <t>멀티모달 은닉 지시</t>
        </is>
      </c>
      <c r="F28" s="17" t="inlineStr">
        <is>
          <t>이미지/오디오/문서 내 비가시 텍스트 또는 유니코드 태그 문자로 지시를 은닉하여 사람 검토와 텍스트 기반 필터를 동시에 우회</t>
        </is>
      </c>
      <c r="G28" s="18" t="inlineStr">
        <is>
          <t>중</t>
        </is>
      </c>
      <c r="H28" s="18" t="inlineStr">
        <is>
          <t>중</t>
        </is>
      </c>
      <c r="I28" s="18">
        <f>IF(AND(G28="상",H28="상"),"매우 높음",IF(OR(AND(G28="상",H28="중"),AND(G28="중",H28="상")),"높음",IF(OR(AND(G28="중",H28="중"),AND(G28="상",H28="하"),AND(G28="하",H28="상")),"보통","낮음")))</f>
        <v/>
      </c>
      <c r="J28" s="17" t="inlineStr">
        <is>
          <t>사람 검토 및 필터 동시 우회</t>
        </is>
      </c>
      <c r="K28" s="19" t="inlineStr">
        <is>
          <t>실증·공개 취약점</t>
        </is>
      </c>
      <c r="L28" s="20" t="n">
        <v>0</v>
      </c>
      <c r="M28" s="17" t="inlineStr">
        <is>
          <t>방어 회피(Defense Evasion)</t>
        </is>
      </c>
      <c r="N28" s="21" t="inlineStr">
        <is>
          <t>T0129</t>
        </is>
      </c>
      <c r="O28" s="21" t="inlineStr">
        <is>
          <t>LLM01</t>
        </is>
      </c>
      <c r="P28" s="21" t="inlineStr">
        <is>
          <t>• [ATLAS CS0041·실증] AI 코딩도구 규칙 파일에 보이지 않는 유니코드 지시를 숨겨 악성 코드 생성 유도
• [OWASP 인용] M365 Copilot ASCII 스머글링 PoC(2024.08, 비가시 유니코드로 MFA 코드 유출)</t>
        </is>
      </c>
      <c r="Q28" s="17" t="inlineStr">
        <is>
          <t>다층 입·출력 가드레일, 모달리티별 정규화·비가시 문자 제거, 권한 분리로 폭발반경 제한, 적대적 테스트 상시화</t>
        </is>
      </c>
    </row>
    <row r="29" ht="75.75" customHeight="1">
      <c r="A29" s="24" t="inlineStr">
        <is>
          <t>D02. 프롬프트 인젝션 및 컨텍스트 노출</t>
        </is>
      </c>
      <c r="B29" s="25" t="inlineStr">
        <is>
          <t>UT-07</t>
        </is>
      </c>
      <c r="C29" s="26" t="inlineStr">
        <is>
          <t>간접 프롬프트 인젝션</t>
        </is>
      </c>
      <c r="D29" s="15" t="inlineStr">
        <is>
          <t>UT-07.1</t>
        </is>
      </c>
      <c r="E29" s="16" t="inlineStr">
        <is>
          <t>외부 콘텐츠 경유 주입</t>
        </is>
      </c>
      <c r="F29" s="17" t="inlineStr">
        <is>
          <t>웹페이지/문서/이메일/이슈 등 AI가 처리하는 외부 콘텐츠에 지시문을 은닉하여, 콘텐츠 처리 시점에 사용자 권한으로 데이터 조회/전송 등 비인가 행위 수행</t>
        </is>
      </c>
      <c r="G29" s="18" t="inlineStr">
        <is>
          <t>중</t>
        </is>
      </c>
      <c r="H29" s="18" t="inlineStr">
        <is>
          <t>상</t>
        </is>
      </c>
      <c r="I29" s="18">
        <f>IF(AND(G29="상",H29="상"),"매우 높음",IF(OR(AND(G29="상",H29="중"),AND(G29="중",H29="상")),"높음",IF(OR(AND(G29="중",H29="중"),AND(G29="상",H29="하"),AND(G29="하",H29="상")),"보통","낮음")))</f>
        <v/>
      </c>
      <c r="J29" s="17" t="inlineStr">
        <is>
          <t>제로클릭 데이터 유출 및 사용자 권한 전체 악용</t>
        </is>
      </c>
      <c r="K29" s="19" t="inlineStr">
        <is>
          <t>실증·공개 취약점</t>
        </is>
      </c>
      <c r="L29" s="20" t="n">
        <v>0</v>
      </c>
      <c r="M29" s="17" t="inlineStr">
        <is>
          <t>초기 접근(Initial Access)</t>
        </is>
      </c>
      <c r="N29" s="21" t="inlineStr">
        <is>
          <t>T0051.001, T0093</t>
        </is>
      </c>
      <c r="O29" s="21" t="inlineStr">
        <is>
          <t>LLM01, MCP06</t>
        </is>
      </c>
      <c r="P29" s="21" t="inlineStr">
        <is>
          <t>• [ATLAS CS0020·실증] 웹페이지 숨은 지시로 Bing Chat이 사용자 개인정보를 캐내는 사회공학 수행
• [ATLAS CS0021·실증] 웹페이지 간접 인젝션으로 ChatGPT 대화 내용을 이미지 URL로 유출
• [ATLAS CS0029·실증] 공유 Google 문서의 간접 인젝션으로 Bard 대화 내용 유출
• [OWASP 인용] Salesforce Agentforce ForcedLeak(2025.09) / Google Gemini Trifecta(2025.09) / Hub MCP 교차 컨텍스트 인젝션(2025.06) / GitHub 공개 이슈 경유 저장소 탈취(2025.05)</t>
        </is>
      </c>
      <c r="Q29" s="17" t="inlineStr">
        <is>
          <t>비신뢰 콘텐츠 구획·출처 표시, 비신뢰 데이터 처리 중 도구 호출 제한, 목표 변경 시 인간 승인, '치명적 삼요소' 동시 성립 차단</t>
        </is>
      </c>
    </row>
    <row r="30" ht="63.75" customHeight="1">
      <c r="A30" s="24" t="inlineStr">
        <is>
          <t>D02. 프롬프트 인젝션 및 컨텍스트 노출</t>
        </is>
      </c>
      <c r="B30" s="25" t="inlineStr">
        <is>
          <t>UT-07</t>
        </is>
      </c>
      <c r="C30" s="26" t="inlineStr">
        <is>
          <t>간접 프롬프트 인젝션</t>
        </is>
      </c>
      <c r="D30" s="15" t="inlineStr">
        <is>
          <t>UT-07.2</t>
        </is>
      </c>
      <c r="E30" s="16" t="inlineStr">
        <is>
          <t>지연 실행형 주입</t>
        </is>
      </c>
      <c r="F30" s="17" t="inlineStr">
        <is>
          <t>특정 키워드/후속 대화 턴/시점에 발동하도록 조건부 지시를 심어 즉시 탐지를 회피하고 도구 호출 제한 등 보호 장치 우회</t>
        </is>
      </c>
      <c r="G30" s="18" t="inlineStr">
        <is>
          <t>중</t>
        </is>
      </c>
      <c r="H30" s="18" t="inlineStr">
        <is>
          <t>중</t>
        </is>
      </c>
      <c r="I30" s="18">
        <f>IF(AND(G30="상",H30="상"),"매우 높음",IF(OR(AND(G30="상",H30="중"),AND(G30="중",H30="상")),"높음",IF(OR(AND(G30="중",H30="중"),AND(G30="상",H30="하"),AND(G30="하",H30="상")),"보통","낮음")))</f>
        <v/>
      </c>
      <c r="J30" s="17" t="inlineStr">
        <is>
          <t>즉시 탐지 회피 후 보호장치 우회 실행</t>
        </is>
      </c>
      <c r="K30" s="19" t="inlineStr">
        <is>
          <t>실증·공개 취약점</t>
        </is>
      </c>
      <c r="L30" s="20" t="n">
        <v>0</v>
      </c>
      <c r="M30" s="17" t="inlineStr">
        <is>
          <t>방어 회피(Defense Evasion)</t>
        </is>
      </c>
      <c r="N30" s="21" t="inlineStr">
        <is>
          <t>T0051.002, T0094</t>
        </is>
      </c>
      <c r="O30" s="21" t="inlineStr">
        <is>
          <t>LLM01</t>
        </is>
      </c>
      <c r="P30" s="21" t="inlineStr">
        <is>
          <t>• [ATLAS CS0024·실증] RAG를 매개로 자기복제 프롬프트가 GenAI 이메일 비서 간 전파(Morris II 웜)
• [ATLAS CS0037·실증] Copilot Studio 고객지원 에이전트를 인젝션해 지식원·도구를 탐색하고 CRM 데이터 유출
• [ATLAS CS0038·실증] 지시 실행을 다음 대화 턴으로 지연시켜 Gemini의 도구 호출 제한 우회</t>
        </is>
      </c>
      <c r="Q30" s="17" t="inlineStr">
        <is>
          <t>비신뢰 콘텐츠 구획·출처 표시, 비신뢰 데이터 처리 중 도구 호출 제한, 목표 변경 시 인간 승인, '치명적 삼요소' 동시 성립 차단</t>
        </is>
      </c>
    </row>
    <row r="31" ht="63.75" customHeight="1">
      <c r="A31" s="24" t="inlineStr">
        <is>
          <t>D02. 프롬프트 인젝션 및 컨텍스트 노출</t>
        </is>
      </c>
      <c r="B31" s="25" t="inlineStr">
        <is>
          <t>UT-07</t>
        </is>
      </c>
      <c r="C31" s="26" t="inlineStr">
        <is>
          <t>간접 프롬프트 인젝션</t>
        </is>
      </c>
      <c r="D31" s="15" t="inlineStr">
        <is>
          <t>UT-07.3</t>
        </is>
      </c>
      <c r="E31" s="16" t="inlineStr">
        <is>
          <t>검색 노출용 콘텐츠 제작</t>
        </is>
      </c>
      <c r="F31" s="21" t="inlineStr">
        <is>
          <t>RAG 수집 대상 사이트/문서를 파악한 후 검색 상위에 노출되도록 설계한 악성 콘텐츠를 외부에 게시하여 AI가 이를 근거로 응답하도록 유도</t>
        </is>
      </c>
      <c r="G31" s="18" t="inlineStr">
        <is>
          <t>중</t>
        </is>
      </c>
      <c r="H31" s="18" t="inlineStr">
        <is>
          <t>중</t>
        </is>
      </c>
      <c r="I31" s="18">
        <f>IF(AND(G31="상",H31="상"),"매우 높음",IF(OR(AND(G31="상",H31="중"),AND(G31="중",H31="상")),"높음",IF(OR(AND(G31="중",H31="중"),AND(G31="상",H31="하"),AND(G31="하",H31="상")),"보통","낮음")))</f>
        <v/>
      </c>
      <c r="J31" s="17" t="inlineStr">
        <is>
          <t>특정 질의 응답 조작(범위 제한)</t>
        </is>
      </c>
      <c r="K31" s="19" t="inlineStr">
        <is>
          <t>실증·공개 취약점</t>
        </is>
      </c>
      <c r="L31" s="20" t="n">
        <v>0</v>
      </c>
      <c r="M31" s="17" t="inlineStr">
        <is>
          <t>자원 개발(Resource Development)</t>
        </is>
      </c>
      <c r="N31" s="21" t="inlineStr">
        <is>
          <t>T0064, T0066</t>
        </is>
      </c>
      <c r="O31" s="21" t="inlineStr">
        <is>
          <t>LLM01</t>
        </is>
      </c>
      <c r="P31" s="21" t="inlineStr">
        <is>
          <t>• [ATLAS CS0026·실증] 메일을 RAG로 수집하는 M365 Copilot을 조작해 송금 계좌 정보를 바꿔치기
• [ATLAS CS0035·실증] 공개 채널 게시글의 간접 인젝션으로 Slack AI가 비공개 채널 데이터 유출
• [ATLAS CS0059·실증] EchoLeak: 메일 한 통으로 M365 Copilot이 사용자 조작 없이 기업 데이터 유출(제로클릭)</t>
        </is>
      </c>
      <c r="Q31" s="17" t="inlineStr">
        <is>
          <t>비신뢰 콘텐츠 구획·출처 표시, 비신뢰 데이터 처리 중 도구 호출 제한, 목표 변경 시 인간 승인, '치명적 삼요소' 동시 성립 차단</t>
        </is>
      </c>
    </row>
    <row r="32" ht="63.75" customHeight="1">
      <c r="A32" s="24" t="inlineStr">
        <is>
          <t>D02. 프롬프트 인젝션 및 컨텍스트 노출</t>
        </is>
      </c>
      <c r="B32" s="25" t="inlineStr">
        <is>
          <t>UT-07</t>
        </is>
      </c>
      <c r="C32" s="26" t="inlineStr">
        <is>
          <t>간접 프롬프트 인젝션</t>
        </is>
      </c>
      <c r="D32" s="15" t="inlineStr">
        <is>
          <t>UT-07.4</t>
        </is>
      </c>
      <c r="E32" s="16" t="inlineStr">
        <is>
          <t>에이전트 유인 및 클로킹</t>
        </is>
      </c>
      <c r="F32" s="17" t="inlineStr">
        <is>
          <t>조작된 AI 비서 링크/클릭 유도 화면으로 에이전트 행동을 유인하거나, AI 크롤러에만 다른 콘텐츠를 제공(클로킹)하여 사람 검토를 회피한 지시 전달</t>
        </is>
      </c>
      <c r="G32" s="18" t="inlineStr">
        <is>
          <t>중</t>
        </is>
      </c>
      <c r="H32" s="18" t="inlineStr">
        <is>
          <t>중</t>
        </is>
      </c>
      <c r="I32" s="18">
        <f>IF(AND(G32="상",H32="상"),"매우 높음",IF(OR(AND(G32="상",H32="중"),AND(G32="중",H32="상")),"높음",IF(OR(AND(G32="중",H32="중"),AND(G32="상",H32="하"),AND(G32="하",H32="상")),"보통","낮음")))</f>
        <v/>
      </c>
      <c r="J32" s="17" t="inlineStr">
        <is>
          <t>에이전트 행위 유도(사용자 권한 범위)</t>
        </is>
      </c>
      <c r="K32" s="19" t="inlineStr">
        <is>
          <t>실제 사고 확인</t>
        </is>
      </c>
      <c r="L32" s="20" t="n">
        <v>1</v>
      </c>
      <c r="M32" s="17" t="inlineStr">
        <is>
          <t>초기 접근(Initial Access)</t>
        </is>
      </c>
      <c r="N32" s="21" t="inlineStr">
        <is>
          <t>T0131, T0100, T0134</t>
        </is>
      </c>
      <c r="O32" s="21" t="inlineStr">
        <is>
          <t>LLM01</t>
        </is>
      </c>
      <c r="P32" s="21" t="inlineStr">
        <is>
          <t>• [ATLAS CS0072·실제사고] 조작된 AI 비서 링크로 메모리를 오염시켜 특정 제품을 추천하게 만드는 홍보성 공격(실제 사고)
• [ATLAS CS0055·실증] ClickFix 사회공학으로 컴퓨터 사용 에이전트가 악성 명령 실행</t>
        </is>
      </c>
      <c r="Q32" s="17" t="inlineStr">
        <is>
          <t>비신뢰 콘텐츠 구획·출처 표시, 비신뢰 데이터 처리 중 도구 호출 제한, 목표 변경 시 인간 승인, '치명적 삼요소' 동시 성립 차단</t>
        </is>
      </c>
    </row>
    <row r="33" ht="63.75" customHeight="1">
      <c r="A33" s="24" t="inlineStr">
        <is>
          <t>D02. 프롬프트 인젝션 및 컨텍스트 노출</t>
        </is>
      </c>
      <c r="B33" s="25" t="inlineStr">
        <is>
          <t>UT-07</t>
        </is>
      </c>
      <c r="C33" s="26" t="inlineStr">
        <is>
          <t>간접 프롬프트 인젝션</t>
        </is>
      </c>
      <c r="D33" s="15" t="inlineStr">
        <is>
          <t>UT-07.5</t>
        </is>
      </c>
      <c r="E33" s="16" t="inlineStr">
        <is>
          <t>에이전트 목표 탈취</t>
        </is>
      </c>
      <c r="F33" s="17" t="inlineStr">
        <is>
          <t>주입된 지시가 에이전트의 목표/계획/판단 기준을 점진적으로 변경하여, 정상 업무 흐름 속에서 공격자 의도에 맞는 의사결정과 행위 반복</t>
        </is>
      </c>
      <c r="G33" s="18" t="inlineStr">
        <is>
          <t>중</t>
        </is>
      </c>
      <c r="H33" s="18" t="inlineStr">
        <is>
          <t>상</t>
        </is>
      </c>
      <c r="I33" s="18">
        <f>IF(AND(G33="상",H33="상"),"매우 높음",IF(OR(AND(G33="상",H33="중"),AND(G33="중",H33="상")),"높음",IF(OR(AND(G33="중",H33="중"),AND(G33="상",H33="하"),AND(G33="하",H33="상")),"보통","낮음")))</f>
        <v/>
      </c>
      <c r="J33" s="17" t="inlineStr">
        <is>
          <t>에이전트 권한 전체를 공격자 목적에 사용</t>
        </is>
      </c>
      <c r="K33" s="19" t="inlineStr">
        <is>
          <t>실증·공개 취약점</t>
        </is>
      </c>
      <c r="L33" s="20" t="n">
        <v>0</v>
      </c>
      <c r="M33" s="17" t="inlineStr">
        <is>
          <t>실행(Execution)</t>
        </is>
      </c>
      <c r="N33" s="21" t="n"/>
      <c r="O33" s="21" t="inlineStr">
        <is>
          <t>ASI01</t>
        </is>
      </c>
      <c r="P33" s="21" t="inlineStr">
        <is>
          <t>• [ATLAS CS0063·실증] 캘린더 초대·메일에 숨긴 지시로 Gemini 비서가 기기·앱을 조작
• [OWASP 인용] ChatGPT Operator 프롬프트 인젝션(2025.02) / VS Code 에이전트 워크플로 RCE(2025.09)
• [OWASP 시나리오] 반복 캘린더 초대로 플래너 에이전트의 목표 가중치를 매일 조금씩 변경(ASI01 시나리오#3)</t>
        </is>
      </c>
      <c r="Q33" s="17" t="inlineStr">
        <is>
          <t>비신뢰 콘텐츠 구획·출처 표시, 비신뢰 데이터 처리 중 도구 호출 제한, 목표 변경 시 인간 승인, '치명적 삼요소' 동시 성립 차단</t>
        </is>
      </c>
    </row>
    <row r="34" ht="63.75" customHeight="1">
      <c r="A34" s="24" t="inlineStr">
        <is>
          <t>D02. 프롬프트 인젝션 및 컨텍스트 노출</t>
        </is>
      </c>
      <c r="B34" s="25" t="inlineStr">
        <is>
          <t>UT-08</t>
        </is>
      </c>
      <c r="C34" s="26" t="inlineStr">
        <is>
          <t>숨겨진 컨텍스트 노출</t>
        </is>
      </c>
      <c r="D34" s="15" t="inlineStr">
        <is>
          <t>UT-08.1</t>
        </is>
      </c>
      <c r="E34" s="16" t="inlineStr">
        <is>
          <t>시스템 프롬프트 추출</t>
        </is>
      </c>
      <c r="F34" s="17" t="inlineStr">
        <is>
          <t>반복 질의/역할 전환/출력 형식 변환 요청을 통해 시스템 지시문과 내부 규칙을 추출하여 가드레일 우회 및 후속 인젝션 설계에 활용</t>
        </is>
      </c>
      <c r="G34" s="18" t="inlineStr">
        <is>
          <t>중</t>
        </is>
      </c>
      <c r="H34" s="18" t="inlineStr">
        <is>
          <t>하</t>
        </is>
      </c>
      <c r="I34" s="18">
        <f>IF(AND(G34="상",H34="상"),"매우 높음",IF(OR(AND(G34="상",H34="중"),AND(G34="중",H34="상")),"높음",IF(OR(AND(G34="중",H34="중"),AND(G34="상",H34="하"),AND(G34="하",H34="상")),"보통","낮음")))</f>
        <v/>
      </c>
      <c r="J34" s="17" t="inlineStr">
        <is>
          <t>정책 정보 노출(직접 피해 제한적)</t>
        </is>
      </c>
      <c r="K34" s="19" t="inlineStr">
        <is>
          <t>실증·공개 취약점</t>
        </is>
      </c>
      <c r="L34" s="20" t="n">
        <v>0</v>
      </c>
      <c r="M34" s="17" t="inlineStr">
        <is>
          <t>탐색(Discovery)</t>
        </is>
      </c>
      <c r="N34" s="21" t="inlineStr">
        <is>
          <t>T0056, T0069, T0069.000, T0069.001, T0069.002</t>
        </is>
      </c>
      <c r="O34" s="21" t="inlineStr">
        <is>
          <t>LLM08</t>
        </is>
      </c>
      <c r="P34" s="21" t="inlineStr">
        <is>
          <t>• [ATLAS CS0026·실증] 메일을 RAG로 수집하는 M365 Copilot을 조작해 송금 계좌 정보를 바꿔치기
• [ATLAS CS0048·실증] 인터넷에 노출된 ClawdBot 제어 인터페이스 수백 개에서 자격증명 탈취·명령 실행
• [ATLAS CS0051·실증] 웹페이지 인젝션으로 OpenClaw에 지속 지시를 심어 C2로 활용
• [OWASP 인용] CVE-2024-5184 EmailGPT 시스템 프롬프트 노출</t>
        </is>
      </c>
      <c r="Q34" s="17" t="inlineStr">
        <is>
          <t>은닉 컨텍스트 노출 가정 설계, 비밀·보안 로직을 프롬프트에 두지 않음, 권한은 외부 정책엔진에서 강제</t>
        </is>
      </c>
    </row>
    <row r="35" ht="63.75" customHeight="1">
      <c r="A35" s="24" t="inlineStr">
        <is>
          <t>D02. 프롬프트 인젝션 및 컨텍스트 노출</t>
        </is>
      </c>
      <c r="B35" s="25" t="inlineStr">
        <is>
          <t>UT-08</t>
        </is>
      </c>
      <c r="C35" s="26" t="inlineStr">
        <is>
          <t>숨겨진 컨텍스트 노출</t>
        </is>
      </c>
      <c r="D35" s="15" t="inlineStr">
        <is>
          <t>UT-08.2</t>
        </is>
      </c>
      <c r="E35" s="16" t="inlineStr">
        <is>
          <t>에이전트 구성 탐색</t>
        </is>
      </c>
      <c r="F35" s="17" t="inlineStr">
        <is>
          <t>에이전트에 질의하여 연결 도구 목록/호출 체인/활성화 트리거/지식원 구성을 파악함으로써 악용 가능한 도구와 데이터 경로 식별</t>
        </is>
      </c>
      <c r="G35" s="18" t="inlineStr">
        <is>
          <t>중</t>
        </is>
      </c>
      <c r="H35" s="18" t="inlineStr">
        <is>
          <t>중</t>
        </is>
      </c>
      <c r="I35" s="18">
        <f>IF(AND(G35="상",H35="상"),"매우 높음",IF(OR(AND(G35="상",H35="중"),AND(G35="중",H35="상")),"높음",IF(OR(AND(G35="중",H35="중"),AND(G35="상",H35="하"),AND(G35="하",H35="상")),"보통","낮음")))</f>
        <v/>
      </c>
      <c r="J35" s="17" t="inlineStr">
        <is>
          <t>도구 악용 경로 정밀화</t>
        </is>
      </c>
      <c r="K35" s="19" t="inlineStr">
        <is>
          <t>실증·공개 취약점</t>
        </is>
      </c>
      <c r="L35" s="20" t="n">
        <v>0</v>
      </c>
      <c r="M35" s="17" t="inlineStr">
        <is>
          <t>탐색(Discovery)</t>
        </is>
      </c>
      <c r="N35" s="21" t="inlineStr">
        <is>
          <t>T0084, T0084.000, T0084.001, T0084.002, T0084.003</t>
        </is>
      </c>
      <c r="O35" s="21" t="inlineStr">
        <is>
          <t>LLM08</t>
        </is>
      </c>
      <c r="P35" s="21" t="inlineStr">
        <is>
          <t>• [ATLAS CS0037·실증] Copilot Studio 고객지원 에이전트를 인젝션해 지식원·도구를 탐색하고 CRM 데이터 유출
• [ATLAS CS0052·실증] 11개 LLM 프레임워크에서 20개 RCE 취약점 발견, 인터넷 공개 앱에서 실증(LLMSmith)
• [ATLAS CS0063·실증] 캘린더 초대·메일에 숨긴 지시로 Gemini 비서가 기기·앱을 조작</t>
        </is>
      </c>
      <c r="Q35" s="17" t="inlineStr">
        <is>
          <t>은닉 컨텍스트 노출 가정 설계, 비밀·보안 로직을 프롬프트에 두지 않음, 권한은 외부 정책엔진에서 강제</t>
        </is>
      </c>
    </row>
    <row r="36" ht="63.75" customHeight="1">
      <c r="A36" s="24" t="inlineStr">
        <is>
          <t>D02. 프롬프트 인젝션 및 컨텍스트 노출</t>
        </is>
      </c>
      <c r="B36" s="25" t="inlineStr">
        <is>
          <t>UT-08</t>
        </is>
      </c>
      <c r="C36" s="26" t="inlineStr">
        <is>
          <t>숨겨진 컨텍스트 노출</t>
        </is>
      </c>
      <c r="D36" s="15" t="inlineStr">
        <is>
          <t>UT-08.3</t>
        </is>
      </c>
      <c r="E36" s="16" t="inlineStr">
        <is>
          <t>런타임 권한 탐색</t>
        </is>
      </c>
      <c r="F36" s="17" t="inlineStr">
        <is>
          <t>에이전트의 실행 권한/접근 가능 자원/런타임 기능을 탐색하여 권한 상승 및 도구 오용 대상 선별</t>
        </is>
      </c>
      <c r="G36" s="18" t="inlineStr">
        <is>
          <t>하</t>
        </is>
      </c>
      <c r="H36" s="18" t="inlineStr">
        <is>
          <t>중</t>
        </is>
      </c>
      <c r="I36" s="18">
        <f>IF(AND(G36="상",H36="상"),"매우 높음",IF(OR(AND(G36="상",H36="중"),AND(G36="중",H36="상")),"높음",IF(OR(AND(G36="중",H36="중"),AND(G36="상",H36="하"),AND(G36="하",H36="상")),"보통","낮음")))</f>
        <v/>
      </c>
      <c r="J36" s="17" t="inlineStr">
        <is>
          <t>권한 상승 및 도구 오용 대상 선별</t>
        </is>
      </c>
      <c r="K36" s="19" t="inlineStr">
        <is>
          <t>이론·시나리오</t>
        </is>
      </c>
      <c r="L36" s="20" t="n">
        <v>0</v>
      </c>
      <c r="M36" s="17" t="inlineStr">
        <is>
          <t>탐색(Discovery)</t>
        </is>
      </c>
      <c r="N36" s="21" t="inlineStr">
        <is>
          <t>T0133</t>
        </is>
      </c>
      <c r="O36" s="21" t="inlineStr">
        <is>
          <t>LLM08</t>
        </is>
      </c>
      <c r="P36" s="21" t="inlineStr">
        <is>
          <t>• [OWASP 시나리오] 에이전트 런타임 기능·권한 탐색(ATLAS T0133, 2026.09 신설 기법 정의)</t>
        </is>
      </c>
      <c r="Q36" s="17" t="inlineStr">
        <is>
          <t>은닉 컨텍스트 노출 가정 설계, 비밀·보안 로직을 프롬프트에 두지 않음, 권한은 외부 정책엔진에서 강제</t>
        </is>
      </c>
    </row>
    <row r="37" ht="63.75" customHeight="1">
      <c r="A37" s="24" t="inlineStr">
        <is>
          <t>D02. 프롬프트 인젝션 및 컨텍스트 노출</t>
        </is>
      </c>
      <c r="B37" s="25" t="inlineStr">
        <is>
          <t>UT-08</t>
        </is>
      </c>
      <c r="C37" s="26" t="inlineStr">
        <is>
          <t>숨겨진 컨텍스트 노출</t>
        </is>
      </c>
      <c r="D37" s="15" t="inlineStr">
        <is>
          <t>UT-08.4</t>
        </is>
      </c>
      <c r="E37" s="16" t="inlineStr">
        <is>
          <t>프롬프트 내 비밀정보 노출</t>
        </is>
      </c>
      <c r="F37" s="17" t="inlineStr">
        <is>
          <t>시스템 프롬프트/에이전트 설정에 API 키/접속 정보/내부 URL을 직접 기재하여, 컨텍스트 추출 시 연동 시스템 자격증명이 함께 노출</t>
        </is>
      </c>
      <c r="G37" s="18" t="inlineStr">
        <is>
          <t>하</t>
        </is>
      </c>
      <c r="H37" s="18" t="inlineStr">
        <is>
          <t>상</t>
        </is>
      </c>
      <c r="I37" s="18">
        <f>IF(AND(G37="상",H37="상"),"매우 높음",IF(OR(AND(G37="상",H37="중"),AND(G37="중",H37="상")),"높음",IF(OR(AND(G37="중",H37="중"),AND(G37="상",H37="하"),AND(G37="하",H37="상")),"보통","낮음")))</f>
        <v/>
      </c>
      <c r="J37" s="17" t="inlineStr">
        <is>
          <t>연동 시스템 자격증명 노출로 다수 시스템 접근</t>
        </is>
      </c>
      <c r="K37" s="19" t="inlineStr">
        <is>
          <t>이론·시나리오</t>
        </is>
      </c>
      <c r="L37" s="20" t="n">
        <v>0</v>
      </c>
      <c r="M37" s="17" t="inlineStr">
        <is>
          <t>자격증명 접근(Credential Access)</t>
        </is>
      </c>
      <c r="N37" s="21" t="n"/>
      <c r="O37" s="21" t="inlineStr">
        <is>
          <t>LLM08</t>
        </is>
      </c>
      <c r="P37" s="21" t="inlineStr">
        <is>
          <t>• [OWASP 시나리오] 시스템 프롬프트에 포함된 자격증명이 추출되어 연동 시스템 접근(LLM08 시나리오#1)</t>
        </is>
      </c>
      <c r="Q37" s="17" t="inlineStr">
        <is>
          <t>은닉 컨텍스트 노출 가정 설계, 비밀·보안 로직을 프롬프트에 두지 않음, 권한은 외부 정책엔진에서 강제</t>
        </is>
      </c>
    </row>
    <row r="38" ht="63.75" customHeight="1">
      <c r="A38" s="27" t="inlineStr">
        <is>
          <t>D03. AI 데이터 오염 및 유출</t>
        </is>
      </c>
      <c r="B38" s="28" t="inlineStr">
        <is>
          <t>UT-09</t>
        </is>
      </c>
      <c r="C38" s="29" t="inlineStr">
        <is>
          <t>학습 데이터 오염</t>
        </is>
      </c>
      <c r="D38" s="15" t="inlineStr">
        <is>
          <t>UT-09.1</t>
        </is>
      </c>
      <c r="E38" s="16" t="inlineStr">
        <is>
          <t>학습 데이터 직접 오염</t>
        </is>
      </c>
      <c r="F38" s="17" t="inlineStr">
        <is>
          <t>사전학습/파인튜닝 데이터에 소량의 오염 샘플 또는 트리거 패턴을 삽입하여 모델에 편향, 성능 저하, 조건부 오작동(백도어)을 내재화</t>
        </is>
      </c>
      <c r="G38" s="18" t="inlineStr">
        <is>
          <t>상</t>
        </is>
      </c>
      <c r="H38" s="18" t="inlineStr">
        <is>
          <t>중</t>
        </is>
      </c>
      <c r="I38" s="18">
        <f>IF(AND(G38="상",H38="상"),"매우 높음",IF(OR(AND(G38="상",H38="중"),AND(G38="중",H38="상")),"높음",IF(OR(AND(G38="중",H38="중"),AND(G38="상",H38="하"),AND(G38="하",H38="상")),"보통","낮음")))</f>
        <v/>
      </c>
      <c r="J38" s="17" t="inlineStr">
        <is>
          <t>모델 전반 무결성 훼손(통제권 탈취와 간접 연계)</t>
        </is>
      </c>
      <c r="K38" s="19" t="inlineStr">
        <is>
          <t>실제 사고 확인</t>
        </is>
      </c>
      <c r="L38" s="20" t="n">
        <v>2</v>
      </c>
      <c r="M38" s="17" t="inlineStr">
        <is>
          <t>지속성(Persistence)</t>
        </is>
      </c>
      <c r="N38" s="21" t="inlineStr">
        <is>
          <t>T0020</t>
        </is>
      </c>
      <c r="O38" s="21" t="inlineStr">
        <is>
          <t>LLM05, DSGAI04</t>
        </is>
      </c>
      <c r="P38" s="21" t="inlineStr">
        <is>
          <t>• [ATLAS CS0002·실제사고] VirusTotal에 변종 샘플을 대량 제출해 크라우드소싱 학습 데이터를 오염
• [ATLAS CS0009·실제사고] Tay 챗봇이 사용자 대화로 온라인 학습되며 오염되어 혐오 발언 생성(실제 사고)
• [ATLAS CS0025·실증] URL 목록형 대규모 데이터셋의 만료 도메인을 매입해 학습 데이터 오염(Split-View)</t>
        </is>
      </c>
      <c r="Q38" s="17" t="inlineStr">
        <is>
          <t>데이터셋 출처·계보 관리(DBOM/ML-BOM), 학습데이터 정제·이상치 탐지, 재학습 입력 검증</t>
        </is>
      </c>
    </row>
    <row r="39" ht="63.75" customHeight="1">
      <c r="A39" s="27" t="inlineStr">
        <is>
          <t>D03. AI 데이터 오염 및 유출</t>
        </is>
      </c>
      <c r="B39" s="28" t="inlineStr">
        <is>
          <t>UT-09</t>
        </is>
      </c>
      <c r="C39" s="29" t="inlineStr">
        <is>
          <t>학습 데이터 오염</t>
        </is>
      </c>
      <c r="D39" s="15" t="inlineStr">
        <is>
          <t>UT-09.2</t>
        </is>
      </c>
      <c r="E39" s="16" t="inlineStr">
        <is>
          <t>오염 데이터셋 유포</t>
        </is>
      </c>
      <c r="F39" s="17" t="inlineStr">
        <is>
          <t>오염된 데이터셋을 공개 저장소에 배포하거나 정상 데이터셋으로 위장하여, 이를 수집한 다수 조직의 학습 파이프라인을 동시 오염</t>
        </is>
      </c>
      <c r="G39" s="18" t="inlineStr">
        <is>
          <t>중</t>
        </is>
      </c>
      <c r="H39" s="18" t="inlineStr">
        <is>
          <t>중</t>
        </is>
      </c>
      <c r="I39" s="18">
        <f>IF(AND(G39="상",H39="상"),"매우 높음",IF(OR(AND(G39="상",H39="중"),AND(G39="중",H39="상")),"높음",IF(OR(AND(G39="중",H39="중"),AND(G39="상",H39="하"),AND(G39="하",H39="상")),"보통","낮음")))</f>
        <v/>
      </c>
      <c r="J39" s="17" t="inlineStr">
        <is>
          <t>다수 조직 모델의 무결성 동시 훼손</t>
        </is>
      </c>
      <c r="K39" s="19" t="inlineStr">
        <is>
          <t>실증·공개 취약점</t>
        </is>
      </c>
      <c r="L39" s="20" t="n">
        <v>0</v>
      </c>
      <c r="M39" s="17" t="inlineStr">
        <is>
          <t>자원 개발(Resource Development)</t>
        </is>
      </c>
      <c r="N39" s="21" t="inlineStr">
        <is>
          <t>T0115.000</t>
        </is>
      </c>
      <c r="O39" s="21" t="inlineStr">
        <is>
          <t>LLM05, DSGAI04</t>
        </is>
      </c>
      <c r="P39" s="21" t="inlineStr">
        <is>
          <t>• [ATLAS CS0025·실증] URL 목록형 대규모 데이터셋의 만료 도메인을 매입해 학습 데이터 오염(Split-View)</t>
        </is>
      </c>
      <c r="Q39" s="17" t="inlineStr">
        <is>
          <t>데이터셋 출처·계보 관리(DBOM/ML-BOM), 학습데이터 정제·이상치 탐지, 재학습 입력 검증</t>
        </is>
      </c>
    </row>
    <row r="40" ht="63.75" customHeight="1">
      <c r="A40" s="27" t="inlineStr">
        <is>
          <t>D03. AI 데이터 오염 및 유출</t>
        </is>
      </c>
      <c r="B40" s="28" t="inlineStr">
        <is>
          <t>UT-09</t>
        </is>
      </c>
      <c r="C40" s="29" t="inlineStr">
        <is>
          <t>학습 데이터 오염</t>
        </is>
      </c>
      <c r="D40" s="15" t="inlineStr">
        <is>
          <t>UT-09.3</t>
        </is>
      </c>
      <c r="E40" s="16" t="inlineStr">
        <is>
          <t>재학습 피드백 오염</t>
        </is>
      </c>
      <c r="F40" s="17" t="inlineStr">
        <is>
          <t>사용자 피드백/운영 로그를 자동 재학습에 반영하는 구조를 악용하여 조작 입력을 반복 주입함으로써 모델 행동을 점진적으로 왜곡</t>
        </is>
      </c>
      <c r="G40" s="18" t="inlineStr">
        <is>
          <t>중</t>
        </is>
      </c>
      <c r="H40" s="18" t="inlineStr">
        <is>
          <t>중</t>
        </is>
      </c>
      <c r="I40" s="18">
        <f>IF(AND(G40="상",H40="상"),"매우 높음",IF(OR(AND(G40="상",H40="중"),AND(G40="중",H40="상")),"높음",IF(OR(AND(G40="중",H40="중"),AND(G40="상",H40="하"),AND(G40="하",H40="상")),"보통","낮음")))</f>
        <v/>
      </c>
      <c r="J40" s="17" t="inlineStr">
        <is>
          <t>점진적 왜곡(탐지 시 롤백 가능)</t>
        </is>
      </c>
      <c r="K40" s="19" t="inlineStr">
        <is>
          <t>실제 사고 확인</t>
        </is>
      </c>
      <c r="L40" s="20" t="n">
        <v>1</v>
      </c>
      <c r="M40" s="17" t="inlineStr">
        <is>
          <t>지속성(Persistence)</t>
        </is>
      </c>
      <c r="N40" s="21" t="n"/>
      <c r="O40" s="21" t="inlineStr">
        <is>
          <t>LLM05</t>
        </is>
      </c>
      <c r="P40" s="21" t="inlineStr">
        <is>
          <t>• [ATLAS CS0009·실제사고] Tay 챗봇이 사용자 대화로 온라인 학습되며 오염되어 혐오 발언 생성(실제 사고)
• [OWASP 시나리오] 자동 재학습 피드백 루프를 악용한 모델 왜곡(LLM05 시나리오#3)</t>
        </is>
      </c>
      <c r="Q40" s="17" t="inlineStr">
        <is>
          <t>데이터셋 출처·계보 관리(DBOM/ML-BOM), 학습데이터 정제·이상치 탐지, 재학습 입력 검증</t>
        </is>
      </c>
    </row>
    <row r="41" ht="63.75" customHeight="1">
      <c r="A41" s="27" t="inlineStr">
        <is>
          <t>D03. AI 데이터 오염 및 유출</t>
        </is>
      </c>
      <c r="B41" s="28" t="inlineStr">
        <is>
          <t>UT-09</t>
        </is>
      </c>
      <c r="C41" s="29" t="inlineStr">
        <is>
          <t>학습 데이터 오염</t>
        </is>
      </c>
      <c r="D41" s="15" t="inlineStr">
        <is>
          <t>UT-09.4</t>
        </is>
      </c>
      <c r="E41" s="16" t="inlineStr">
        <is>
          <t>무결성 저하 공격</t>
        </is>
      </c>
      <c r="F41" s="17" t="inlineStr">
        <is>
          <t>적대적 입력 반복 투입 또는 데이터셋 일부 훼손을 통해 모델/데이터셋의 신뢰도를 저하시켜 운영 중단 또는 재학습 비용 유발</t>
        </is>
      </c>
      <c r="G41" s="18" t="inlineStr">
        <is>
          <t>상</t>
        </is>
      </c>
      <c r="H41" s="18" t="inlineStr">
        <is>
          <t>중</t>
        </is>
      </c>
      <c r="I41" s="18">
        <f>IF(AND(G41="상",H41="상"),"매우 높음",IF(OR(AND(G41="상",H41="중"),AND(G41="중",H41="상")),"높음",IF(OR(AND(G41="중",H41="중"),AND(G41="상",H41="하"),AND(G41="하",H41="상")),"보통","낮음")))</f>
        <v/>
      </c>
      <c r="J41" s="17" t="inlineStr">
        <is>
          <t>모델 신뢰도 저하 및 재학습 비용</t>
        </is>
      </c>
      <c r="K41" s="19" t="inlineStr">
        <is>
          <t>실제 사고 확인</t>
        </is>
      </c>
      <c r="L41" s="20" t="n">
        <v>2</v>
      </c>
      <c r="M41" s="17" t="inlineStr">
        <is>
          <t>영향(Impact)</t>
        </is>
      </c>
      <c r="N41" s="21" t="inlineStr">
        <is>
          <t>T0059, T0031</t>
        </is>
      </c>
      <c r="O41" s="21" t="inlineStr">
        <is>
          <t>DSGAI04</t>
        </is>
      </c>
      <c r="P41" s="21" t="inlineStr">
        <is>
          <t>• [ATLAS CS0025·실증] URL 목록형 대규모 데이터셋의 만료 도메인을 매입해 학습 데이터 오염(Split-View)
• [ATLAS CS0006·실제사고] Clearview AI 저장소 설정 오류로 소스코드·자격증명·모델 노출
• [ATLAS CS0009·실제사고] Tay 챗봇이 사용자 대화로 온라인 학습되며 오염되어 혐오 발언 생성(실제 사고)</t>
        </is>
      </c>
      <c r="Q41" s="17" t="inlineStr">
        <is>
          <t>데이터셋 출처·계보 관리(DBOM/ML-BOM), 학습데이터 정제·이상치 탐지, 재학습 입력 검증</t>
        </is>
      </c>
    </row>
    <row r="42" ht="63.75" customHeight="1">
      <c r="A42" s="27" t="inlineStr">
        <is>
          <t>D03. AI 데이터 오염 및 유출</t>
        </is>
      </c>
      <c r="B42" s="28" t="inlineStr">
        <is>
          <t>UT-10</t>
        </is>
      </c>
      <c r="C42" s="29" t="inlineStr">
        <is>
          <t>지식원(RAG) 오염</t>
        </is>
      </c>
      <c r="D42" s="15" t="inlineStr">
        <is>
          <t>UT-10.1</t>
        </is>
      </c>
      <c r="E42" s="16" t="inlineStr">
        <is>
          <t>검색 코퍼스 오염</t>
        </is>
      </c>
      <c r="F42" s="17" t="inlineStr">
        <is>
          <t>조직 지식원/RAG 코퍼스에 허위 또는 조작 문서를 기록하여, AI가 이를 권위 있는 근거로 인용한 잘못된 응답/권고 생성</t>
        </is>
      </c>
      <c r="G42" s="18" t="inlineStr">
        <is>
          <t>중</t>
        </is>
      </c>
      <c r="H42" s="18" t="inlineStr">
        <is>
          <t>중</t>
        </is>
      </c>
      <c r="I42" s="18">
        <f>IF(AND(G42="상",H42="상"),"매우 높음",IF(OR(AND(G42="상",H42="중"),AND(G42="중",H42="상")),"높음",IF(OR(AND(G42="중",H42="중"),AND(G42="상",H42="하"),AND(G42="하",H42="상")),"보통","낮음")))</f>
        <v/>
      </c>
      <c r="J42" s="17" t="inlineStr">
        <is>
          <t>응답 무결성 훼손(업무 판단 및 거래 오류)</t>
        </is>
      </c>
      <c r="K42" s="19" t="inlineStr">
        <is>
          <t>실증·공개 취약점</t>
        </is>
      </c>
      <c r="L42" s="20" t="n">
        <v>0</v>
      </c>
      <c r="M42" s="17" t="inlineStr">
        <is>
          <t>지속성(Persistence)</t>
        </is>
      </c>
      <c r="N42" s="21" t="inlineStr">
        <is>
          <t>T0070, T0071</t>
        </is>
      </c>
      <c r="O42" s="21" t="inlineStr">
        <is>
          <t>ASI06, DSGAI21</t>
        </is>
      </c>
      <c r="P42" s="21" t="inlineStr">
        <is>
          <t>• [ATLAS CS0026·실증] 메일을 RAG로 수집하는 M365 Copilot을 조작해 송금 계좌 정보를 바꿔치기
• [ATLAS CS0024·실증] RAG를 매개로 자기복제 프롬프트가 GenAI 이메일 비서 간 전파(Morris II 웜)
• [ATLAS CS0035·실증] 공개 채널 게시글의 간접 인젝션으로 Slack AI가 비공개 채널 데이터 유출</t>
        </is>
      </c>
      <c r="Q42" s="17" t="inlineStr">
        <is>
          <t>수집원 신뢰등급·서명, 색인 전 검증, 검색 결과 출처 표시, 임베딩 모델 자체 검증</t>
        </is>
      </c>
    </row>
    <row r="43" ht="63.75" customHeight="1">
      <c r="A43" s="27" t="inlineStr">
        <is>
          <t>D03. AI 데이터 오염 및 유출</t>
        </is>
      </c>
      <c r="B43" s="28" t="inlineStr">
        <is>
          <t>UT-10</t>
        </is>
      </c>
      <c r="C43" s="29" t="inlineStr">
        <is>
          <t>지식원(RAG) 오염</t>
        </is>
      </c>
      <c r="D43" s="15" t="inlineStr">
        <is>
          <t>UT-10.2</t>
        </is>
      </c>
      <c r="E43" s="16" t="inlineStr">
        <is>
          <t>에이전트 조회 데이터 오염</t>
        </is>
      </c>
      <c r="F43" s="17" t="inlineStr">
        <is>
          <t>에이전트 도구가 조회하는 DB/문서 저장소/검색 색인에 악성 지시나 허위 데이터를 기록하여, 도구 호출 결과를 통해 에이전트 행위 조작</t>
        </is>
      </c>
      <c r="G43" s="18" t="inlineStr">
        <is>
          <t>하</t>
        </is>
      </c>
      <c r="H43" s="18" t="inlineStr">
        <is>
          <t>상</t>
        </is>
      </c>
      <c r="I43" s="18">
        <f>IF(AND(G43="상",H43="상"),"매우 높음",IF(OR(AND(G43="상",H43="중"),AND(G43="중",H43="상")),"높음",IF(OR(AND(G43="중",H43="중"),AND(G43="상",H43="하"),AND(G43="하",H43="상")),"보통","낮음")))</f>
        <v/>
      </c>
      <c r="J43" s="17" t="inlineStr">
        <is>
          <t>도구 결과 신뢰를 통한 에이전트 행위 조작</t>
        </is>
      </c>
      <c r="K43" s="19" t="inlineStr">
        <is>
          <t>이론·시나리오</t>
        </is>
      </c>
      <c r="L43" s="20" t="n">
        <v>0</v>
      </c>
      <c r="M43" s="17" t="inlineStr">
        <is>
          <t>지속성(Persistence)</t>
        </is>
      </c>
      <c r="N43" s="21" t="inlineStr">
        <is>
          <t>T0099</t>
        </is>
      </c>
      <c r="O43" s="21" t="inlineStr">
        <is>
          <t>ASI06</t>
        </is>
      </c>
      <c r="P43" s="21" t="inlineStr">
        <is>
          <t>— (근거 사례 없음: OWASP 위험 정의 기반)</t>
        </is>
      </c>
      <c r="Q43" s="17" t="inlineStr">
        <is>
          <t>수집원 신뢰등급·서명, 색인 전 검증, 검색 결과 출처 표시, 임베딩 모델 자체 검증</t>
        </is>
      </c>
    </row>
    <row r="44" ht="63.75" customHeight="1">
      <c r="A44" s="27" t="inlineStr">
        <is>
          <t>D03. AI 데이터 오염 및 유출</t>
        </is>
      </c>
      <c r="B44" s="28" t="inlineStr">
        <is>
          <t>UT-10</t>
        </is>
      </c>
      <c r="C44" s="29" t="inlineStr">
        <is>
          <t>지식원(RAG) 오염</t>
        </is>
      </c>
      <c r="D44" s="15" t="inlineStr">
        <is>
          <t>UT-10.3</t>
        </is>
      </c>
      <c r="E44" s="16" t="inlineStr">
        <is>
          <t>임베딩 공간 조작</t>
        </is>
      </c>
      <c r="F44" s="17" t="inlineStr">
        <is>
          <t>임베딩 유사도를 노린 문서 조작 또는 시맨틱 캐시 오염을 통해 검색 순위를 장악하여 특정 질의에 공격자 콘텐츠가 우선 반환되도록 유도</t>
        </is>
      </c>
      <c r="G44" s="18" t="inlineStr">
        <is>
          <t>하</t>
        </is>
      </c>
      <c r="H44" s="18" t="inlineStr">
        <is>
          <t>중</t>
        </is>
      </c>
      <c r="I44" s="18">
        <f>IF(AND(G44="상",H44="상"),"매우 높음",IF(OR(AND(G44="상",H44="중"),AND(G44="중",H44="상")),"높음",IF(OR(AND(G44="중",H44="중"),AND(G44="상",H44="하"),AND(G44="하",H44="상")),"보통","낮음")))</f>
        <v/>
      </c>
      <c r="J44" s="17" t="inlineStr">
        <is>
          <t>특정 질의 검색 결과 장악</t>
        </is>
      </c>
      <c r="K44" s="19" t="inlineStr">
        <is>
          <t>이론·시나리오</t>
        </is>
      </c>
      <c r="L44" s="20" t="n">
        <v>0</v>
      </c>
      <c r="M44" s="17" t="inlineStr">
        <is>
          <t>지속성(Persistence)</t>
        </is>
      </c>
      <c r="N44" s="21" t="n"/>
      <c r="O44" s="21" t="inlineStr">
        <is>
          <t>LLM09</t>
        </is>
      </c>
      <c r="P44" s="21" t="inlineStr">
        <is>
          <t>• [OWASP 시나리오] 임베딩 유사도를 노린 공개 수집 파이프라인 공격(LLM09 시나리오#1)</t>
        </is>
      </c>
      <c r="Q44" s="17" t="inlineStr">
        <is>
          <t>수집원 신뢰등급·서명, 색인 전 검증, 검색 결과 출처 표시, 임베딩 모델 자체 검증</t>
        </is>
      </c>
    </row>
    <row r="45" ht="63.75" customHeight="1">
      <c r="A45" s="27" t="inlineStr">
        <is>
          <t>D03. AI 데이터 오염 및 유출</t>
        </is>
      </c>
      <c r="B45" s="28" t="inlineStr">
        <is>
          <t>UT-11</t>
        </is>
      </c>
      <c r="C45" s="29" t="inlineStr">
        <is>
          <t>에이전트 메모리 오염</t>
        </is>
      </c>
      <c r="D45" s="15" t="inlineStr">
        <is>
          <t>UT-11.1</t>
        </is>
      </c>
      <c r="E45" s="16" t="inlineStr">
        <is>
          <t>장기 메모리 오염</t>
        </is>
      </c>
      <c r="F45" s="17" t="inlineStr">
        <is>
          <t>공유 문서/웹 콘텐츠의 인젝션을 통해 에이전트 장기 메모리에 허위 사실이나 지속 지시를 기록하여, 이후 모든 세션에서 오염된 기억 기반으로 응답/행위</t>
        </is>
      </c>
      <c r="G45" s="18" t="inlineStr">
        <is>
          <t>중</t>
        </is>
      </c>
      <c r="H45" s="18" t="inlineStr">
        <is>
          <t>상</t>
        </is>
      </c>
      <c r="I45" s="18">
        <f>IF(AND(G45="상",H45="상"),"매우 높음",IF(OR(AND(G45="상",H45="중"),AND(G45="중",H45="상")),"높음",IF(OR(AND(G45="중",H45="중"),AND(G45="상",H45="하"),AND(G45="하",H45="상")),"보통","낮음")))</f>
        <v/>
      </c>
      <c r="J45" s="17" t="inlineStr">
        <is>
          <t>세션 간 지속되는 행위 장악(C2 연계 사례)</t>
        </is>
      </c>
      <c r="K45" s="19" t="inlineStr">
        <is>
          <t>실제 사고 확인</t>
        </is>
      </c>
      <c r="L45" s="20" t="n">
        <v>1</v>
      </c>
      <c r="M45" s="17" t="inlineStr">
        <is>
          <t>지속성(Persistence)</t>
        </is>
      </c>
      <c r="N45" s="21" t="inlineStr">
        <is>
          <t>T0080, T0080.000</t>
        </is>
      </c>
      <c r="O45" s="21" t="inlineStr">
        <is>
          <t>ASI06</t>
        </is>
      </c>
      <c r="P45" s="21" t="inlineStr">
        <is>
          <t>• [ATLAS CS0072·실제사고] 조작된 AI 비서 링크로 메모리를 오염시켜 특정 제품을 추천하게 만드는 홍보성 공격(실제 사고)
• [ATLAS CS0040·실증] 공유 문서의 인젝션으로 ChatGPT 장기 메모리에 허위 정보를 영구 기록
• [ATLAS CS0036·실증] LLM 데스크톱 앱 메모리에서 인증 토큰을 추출해 사용자 가장(AIKatz)</t>
        </is>
      </c>
      <c r="Q45" s="17" t="inlineStr">
        <is>
          <t>메모리 쓰기 검증·출처 점수, 사용자·작업별 메모리 분리, 스냅샷·롤백, 에이전트 출력의 자동 재수집 금지</t>
        </is>
      </c>
    </row>
    <row r="46" ht="63.75" customHeight="1">
      <c r="A46" s="27" t="inlineStr">
        <is>
          <t>D03. AI 데이터 오염 및 유출</t>
        </is>
      </c>
      <c r="B46" s="28" t="inlineStr">
        <is>
          <t>UT-11</t>
        </is>
      </c>
      <c r="C46" s="29" t="inlineStr">
        <is>
          <t>에이전트 메모리 오염</t>
        </is>
      </c>
      <c r="D46" s="15" t="inlineStr">
        <is>
          <t>UT-11.2</t>
        </is>
      </c>
      <c r="E46" s="16" t="inlineStr">
        <is>
          <t>대화 스레드 오염</t>
        </is>
      </c>
      <c r="F46" s="17" t="inlineStr">
        <is>
          <t>진행 중인 대화 스레드에 조작 지시를 삽입하여 동일 세션 내 후속 응답과 도구 호출을 지속적으로 왜곡</t>
        </is>
      </c>
      <c r="G46" s="18" t="inlineStr">
        <is>
          <t>중</t>
        </is>
      </c>
      <c r="H46" s="18" t="inlineStr">
        <is>
          <t>중</t>
        </is>
      </c>
      <c r="I46" s="18">
        <f>IF(AND(G46="상",H46="상"),"매우 높음",IF(OR(AND(G46="상",H46="중"),AND(G46="중",H46="상")),"높음",IF(OR(AND(G46="중",H46="중"),AND(G46="상",H46="하"),AND(G46="하",H46="상")),"보통","낮음")))</f>
        <v/>
      </c>
      <c r="J46" s="17" t="inlineStr">
        <is>
          <t>단일 대화 범위 왜곡</t>
        </is>
      </c>
      <c r="K46" s="19" t="inlineStr">
        <is>
          <t>실증·공개 취약점</t>
        </is>
      </c>
      <c r="L46" s="20" t="n">
        <v>0</v>
      </c>
      <c r="M46" s="17" t="inlineStr">
        <is>
          <t>지속성(Persistence)</t>
        </is>
      </c>
      <c r="N46" s="21" t="inlineStr">
        <is>
          <t>T0080.001</t>
        </is>
      </c>
      <c r="O46" s="21" t="inlineStr">
        <is>
          <t>ASI06</t>
        </is>
      </c>
      <c r="P46" s="21" t="inlineStr">
        <is>
          <t>• [ATLAS CS0036·실증] LLM 데스크톱 앱 메모리에서 인증 토큰을 추출해 사용자 가장(AIKatz)
• [ATLAS CS0051·실증] 웹페이지 인젝션으로 OpenClaw에 지속 지시를 심어 C2로 활용
• [ATLAS CS0063·실증] 캘린더 초대·메일에 숨긴 지시로 Gemini 비서가 기기·앱을 조작</t>
        </is>
      </c>
      <c r="Q46" s="17" t="inlineStr">
        <is>
          <t>메모리 쓰기 검증·출처 점수, 사용자·작업별 메모리 분리, 스냅샷·롤백, 에이전트 출력의 자동 재수집 금지</t>
        </is>
      </c>
    </row>
    <row r="47" ht="63.75" customHeight="1">
      <c r="A47" s="27" t="inlineStr">
        <is>
          <t>D03. AI 데이터 오염 및 유출</t>
        </is>
      </c>
      <c r="B47" s="28" t="inlineStr">
        <is>
          <t>UT-11</t>
        </is>
      </c>
      <c r="C47" s="29" t="inlineStr">
        <is>
          <t>에이전트 메모리 오염</t>
        </is>
      </c>
      <c r="D47" s="15" t="inlineStr">
        <is>
          <t>UT-11.3</t>
        </is>
      </c>
      <c r="E47" s="16" t="inlineStr">
        <is>
          <t>대화 이력 조작</t>
        </is>
      </c>
      <c r="F47" s="17" t="inlineStr">
        <is>
          <t>대화 이력을 변조/삭제하여 공격 흔적을 은폐하거나 과거 맥락을 위조함으로써 사용자 및 모니터링의 이상 인지 방해</t>
        </is>
      </c>
      <c r="G47" s="18" t="inlineStr">
        <is>
          <t>중</t>
        </is>
      </c>
      <c r="H47" s="18" t="inlineStr">
        <is>
          <t>중</t>
        </is>
      </c>
      <c r="I47" s="18">
        <f>IF(AND(G47="상",H47="상"),"매우 높음",IF(OR(AND(G47="상",H47="중"),AND(G47="중",H47="상")),"높음",IF(OR(AND(G47="중",H47="중"),AND(G47="상",H47="하"),AND(G47="하",H47="상")),"보통","낮음")))</f>
        <v/>
      </c>
      <c r="J47" s="17" t="inlineStr">
        <is>
          <t>공격 흔적 은폐 및 이상 인지 방해</t>
        </is>
      </c>
      <c r="K47" s="19" t="inlineStr">
        <is>
          <t>실증·공개 취약점</t>
        </is>
      </c>
      <c r="L47" s="20" t="n">
        <v>0</v>
      </c>
      <c r="M47" s="17" t="inlineStr">
        <is>
          <t>방어 회피(Defense Evasion)</t>
        </is>
      </c>
      <c r="N47" s="21" t="inlineStr">
        <is>
          <t>T0092</t>
        </is>
      </c>
      <c r="O47" s="21" t="inlineStr">
        <is>
          <t>ASI06</t>
        </is>
      </c>
      <c r="P47" s="21" t="inlineStr">
        <is>
          <t>• [ATLAS CS0036·실증] LLM 데스크톱 앱 메모리에서 인증 토큰을 추출해 사용자 가장(AIKatz)
• [ATLAS CS0048·실증] 인터넷에 노출된 ClawdBot 제어 인터페이스 수백 개에서 자격증명 탈취·명령 실행</t>
        </is>
      </c>
      <c r="Q47" s="17" t="inlineStr">
        <is>
          <t>메모리 쓰기 검증·출처 점수, 사용자·작업별 메모리 분리, 스냅샷·롤백, 에이전트 출력의 자동 재수집 금지</t>
        </is>
      </c>
    </row>
    <row r="48" ht="63.75" customHeight="1">
      <c r="A48" s="27" t="inlineStr">
        <is>
          <t>D03. AI 데이터 오염 및 유출</t>
        </is>
      </c>
      <c r="B48" s="28" t="inlineStr">
        <is>
          <t>UT-11</t>
        </is>
      </c>
      <c r="C48" s="29" t="inlineStr">
        <is>
          <t>에이전트 메모리 오염</t>
        </is>
      </c>
      <c r="D48" s="15" t="inlineStr">
        <is>
          <t>UT-11.4</t>
        </is>
      </c>
      <c r="E48" s="16" t="inlineStr">
        <is>
          <t>공유 메모리 오염</t>
        </is>
      </c>
      <c r="F48" s="17" t="inlineStr">
        <is>
          <t>다중 에이전트가 공유하는 메모리/컨텍스트 저장소에 허위 정책 또는 사실을 기록하여 다른 에이전트의 판단까지 연쇄 오염</t>
        </is>
      </c>
      <c r="G48" s="18" t="inlineStr">
        <is>
          <t>하</t>
        </is>
      </c>
      <c r="H48" s="18" t="inlineStr">
        <is>
          <t>중</t>
        </is>
      </c>
      <c r="I48" s="18">
        <f>IF(AND(G48="상",H48="상"),"매우 높음",IF(OR(AND(G48="상",H48="중"),AND(G48="중",H48="상")),"높음",IF(OR(AND(G48="중",H48="중"),AND(G48="상",H48="하"),AND(G48="하",H48="상")),"보통","낮음")))</f>
        <v/>
      </c>
      <c r="J48" s="17" t="inlineStr">
        <is>
          <t>다중 에이전트 판단 오염(무결성 훼손)</t>
        </is>
      </c>
      <c r="K48" s="19" t="inlineStr">
        <is>
          <t>이론·시나리오</t>
        </is>
      </c>
      <c r="L48" s="20" t="n">
        <v>0</v>
      </c>
      <c r="M48" s="17" t="inlineStr">
        <is>
          <t>지속성(Persistence)</t>
        </is>
      </c>
      <c r="N48" s="21" t="n"/>
      <c r="O48" s="21" t="inlineStr">
        <is>
          <t>ASI06</t>
        </is>
      </c>
      <c r="P48" s="21" t="inlineStr">
        <is>
          <t>• [OWASP 시나리오] 공유 메모리에 가짜 환불 정책을 삽입해 다른 에이전트가 재사용(ASI06 시나리오#4)</t>
        </is>
      </c>
      <c r="Q48" s="17" t="inlineStr">
        <is>
          <t>메모리 쓰기 검증·출처 점수, 사용자·작업별 메모리 분리, 스냅샷·롤백, 에이전트 출력의 자동 재수집 금지</t>
        </is>
      </c>
    </row>
    <row r="49" ht="63.75" customHeight="1">
      <c r="A49" s="27" t="inlineStr">
        <is>
          <t>D03. AI 데이터 오염 및 유출</t>
        </is>
      </c>
      <c r="B49" s="28" t="inlineStr">
        <is>
          <t>UT-12</t>
        </is>
      </c>
      <c r="C49" s="29" t="inlineStr">
        <is>
          <t>민감정보 노출</t>
        </is>
      </c>
      <c r="D49" s="15" t="inlineStr">
        <is>
          <t>UT-12.1</t>
        </is>
      </c>
      <c r="E49" s="16" t="inlineStr">
        <is>
          <t>학습 데이터 암기 출력</t>
        </is>
      </c>
      <c r="F49" s="17" t="inlineStr">
        <is>
          <t>학습 데이터에 포함된 개인정보/비밀정보를 모델이 암기하여, 반복 토큰 등 특정 질의 패턴에 원문 그대로 출력</t>
        </is>
      </c>
      <c r="G49" s="18" t="inlineStr">
        <is>
          <t>중</t>
        </is>
      </c>
      <c r="H49" s="18" t="inlineStr">
        <is>
          <t>중</t>
        </is>
      </c>
      <c r="I49" s="18">
        <f>IF(AND(G49="상",H49="상"),"매우 높음",IF(OR(AND(G49="상",H49="중"),AND(G49="중",H49="상")),"높음",IF(OR(AND(G49="중",H49="중"),AND(G49="상",H49="하"),AND(G49="하",H49="상")),"보통","낮음")))</f>
        <v/>
      </c>
      <c r="J49" s="17" t="inlineStr">
        <is>
          <t>암기 데이터 단편 노출(대량 추출 난이도 높음)</t>
        </is>
      </c>
      <c r="K49" s="19" t="inlineStr">
        <is>
          <t>실증·공개 취약점</t>
        </is>
      </c>
      <c r="L49" s="20" t="n">
        <v>0</v>
      </c>
      <c r="M49" s="17" t="inlineStr">
        <is>
          <t>유출(Exfiltration)</t>
        </is>
      </c>
      <c r="N49" s="21" t="inlineStr">
        <is>
          <t>T0057</t>
        </is>
      </c>
      <c r="O49" s="21" t="inlineStr">
        <is>
          <t>LLM02, DSGAI01</t>
        </is>
      </c>
      <c r="P49" s="21" t="inlineStr">
        <is>
          <t>• [ATLAS CS0024·실증] RAG를 매개로 자기복제 프롬프트가 GenAI 이메일 비서 간 전파(Morris II 웜)
• [ATLAS CS0067·실증] Claude Code GitHub Action이 인젝션으로 저장소 비밀값을 노출</t>
        </is>
      </c>
      <c r="Q49" s="17" t="inlineStr">
        <is>
          <t>학습·색인 전 비식별화, 문서별 ACL 기반 검색, 입·출력 DLP(멀티모달 포함), 필요 최소 컨텍스트</t>
        </is>
      </c>
    </row>
    <row r="50" ht="63.75" customHeight="1">
      <c r="A50" s="27" t="inlineStr">
        <is>
          <t>D03. AI 데이터 오염 및 유출</t>
        </is>
      </c>
      <c r="B50" s="28" t="inlineStr">
        <is>
          <t>UT-12</t>
        </is>
      </c>
      <c r="C50" s="29" t="inlineStr">
        <is>
          <t>민감정보 노출</t>
        </is>
      </c>
      <c r="D50" s="15" t="inlineStr">
        <is>
          <t>UT-12.2</t>
        </is>
      </c>
      <c r="E50" s="16" t="inlineStr">
        <is>
          <t>검색 권한 과다 노출</t>
        </is>
      </c>
      <c r="F50" s="21" t="inlineStr">
        <is>
          <t>RAG/에이전트 도구의 검색 범위가 사용자 권한보다 넓게 설정되어, 일반 질의만으로 열람 권한 없는 문서/데이터가 응답에 포함</t>
        </is>
      </c>
      <c r="G50" s="18" t="inlineStr">
        <is>
          <t>중</t>
        </is>
      </c>
      <c r="H50" s="18" t="inlineStr">
        <is>
          <t>상</t>
        </is>
      </c>
      <c r="I50" s="18">
        <f>IF(AND(G50="상",H50="상"),"매우 높음",IF(OR(AND(G50="상",H50="중"),AND(G50="중",H50="상")),"높음",IF(OR(AND(G50="중",H50="중"),AND(G50="상",H50="하"),AND(G50="하",H50="상")),"보통","낮음")))</f>
        <v/>
      </c>
      <c r="J50" s="17" t="inlineStr">
        <is>
          <t>열람 권한 밖 중요정보 대량 노출</t>
        </is>
      </c>
      <c r="K50" s="19" t="inlineStr">
        <is>
          <t>실증·공개 취약점</t>
        </is>
      </c>
      <c r="L50" s="20" t="n">
        <v>0</v>
      </c>
      <c r="M50" s="17" t="inlineStr">
        <is>
          <t>수집(Collection)</t>
        </is>
      </c>
      <c r="N50" s="21" t="inlineStr">
        <is>
          <t>T0085, T0085.000, T0085.001</t>
        </is>
      </c>
      <c r="O50" s="21" t="inlineStr">
        <is>
          <t>LLM02, DSGAI01</t>
        </is>
      </c>
      <c r="P50" s="21" t="inlineStr">
        <is>
          <t>• [ATLAS CS0035·실증] 공개 채널 게시글의 간접 인젝션으로 Slack AI가 비공개 채널 데이터 유출
• [ATLAS CS0037·실증] Copilot Studio 고객지원 에이전트를 인젝션해 지식원·도구를 탐색하고 CRM 데이터 유출
• [ATLAS CS0038·실증] 지시 실행을 다음 대화 턴으로 지연시켜 Gemini의 도구 호출 제한 우회
• [OWASP 인용] CVE-2026-0612 The Librarian 정보 유출 취약점</t>
        </is>
      </c>
      <c r="Q50" s="17" t="inlineStr">
        <is>
          <t>학습·색인 전 비식별화, 문서별 ACL 기반 검색, 입·출력 DLP(멀티모달 포함), 필요 최소 컨텍스트</t>
        </is>
      </c>
    </row>
    <row r="51" ht="63.75" customHeight="1">
      <c r="A51" s="27" t="inlineStr">
        <is>
          <t>D03. AI 데이터 오염 및 유출</t>
        </is>
      </c>
      <c r="B51" s="28" t="inlineStr">
        <is>
          <t>UT-12</t>
        </is>
      </c>
      <c r="C51" s="29" t="inlineStr">
        <is>
          <t>민감정보 노출</t>
        </is>
      </c>
      <c r="D51" s="15" t="inlineStr">
        <is>
          <t>UT-12.3</t>
        </is>
      </c>
      <c r="E51" s="16" t="inlineStr">
        <is>
          <t>프롬프트 과다 공유</t>
        </is>
      </c>
      <c r="F51" s="17" t="inlineStr">
        <is>
          <t>업무 처리에 불필요한 전체 고객 기록/내부 문서를 프롬프트에 포함하여 외부 AI 제공자 및 하위 처리자에게 전송함으로써 조직 통제 밖으로 데이터 유출</t>
        </is>
      </c>
      <c r="G51" s="18" t="inlineStr">
        <is>
          <t>하</t>
        </is>
      </c>
      <c r="H51" s="18" t="inlineStr">
        <is>
          <t>중</t>
        </is>
      </c>
      <c r="I51" s="18">
        <f>IF(AND(G51="상",H51="상"),"매우 높음",IF(OR(AND(G51="상",H51="중"),AND(G51="중",H51="상")),"높음",IF(OR(AND(G51="중",H51="중"),AND(G51="상",H51="하"),AND(G51="하",H51="상")),"보통","낮음")))</f>
        <v/>
      </c>
      <c r="J51" s="17" t="inlineStr">
        <is>
          <t>외부 제공자 범위 노출(계약 통제 가능)</t>
        </is>
      </c>
      <c r="K51" s="19" t="inlineStr">
        <is>
          <t>이론·시나리오</t>
        </is>
      </c>
      <c r="L51" s="20" t="n">
        <v>0</v>
      </c>
      <c r="M51" s="17" t="inlineStr">
        <is>
          <t>해당 없음(구조적 결함)</t>
        </is>
      </c>
      <c r="N51" s="21" t="n"/>
      <c r="O51" s="21" t="inlineStr">
        <is>
          <t>DSGAI15</t>
        </is>
      </c>
      <c r="P51" s="21" t="inlineStr">
        <is>
          <t>• [OWASP 시나리오] 잔액 조회마다 전체 KYC 파일을 프롬프트에 포함한 뱅킹 비서(DSGAI15 시나리오)</t>
        </is>
      </c>
      <c r="Q51" s="17" t="inlineStr">
        <is>
          <t>학습·색인 전 비식별화, 문서별 ACL 기반 검색, 입·출력 DLP(멀티모달 포함), 필요 최소 컨텍스트</t>
        </is>
      </c>
    </row>
    <row r="52" ht="63.75" customHeight="1">
      <c r="A52" s="27" t="inlineStr">
        <is>
          <t>D03. AI 데이터 오염 및 유출</t>
        </is>
      </c>
      <c r="B52" s="28" t="inlineStr">
        <is>
          <t>UT-12</t>
        </is>
      </c>
      <c r="C52" s="29" t="inlineStr">
        <is>
          <t>민감정보 노출</t>
        </is>
      </c>
      <c r="D52" s="15" t="inlineStr">
        <is>
          <t>UT-12.4</t>
        </is>
      </c>
      <c r="E52" s="16" t="inlineStr">
        <is>
          <t>멀티모달 입력 노출</t>
        </is>
      </c>
      <c r="F52" s="17" t="inlineStr">
        <is>
          <t>스크린샷/문서 이미지/음성 등 멀티모달 입력에 포함된 민감정보가 텍스트 기반 DLP를 우회하여 AI 서비스 및 로그로 전달</t>
        </is>
      </c>
      <c r="G52" s="18" t="inlineStr">
        <is>
          <t>하</t>
        </is>
      </c>
      <c r="H52" s="18" t="inlineStr">
        <is>
          <t>중</t>
        </is>
      </c>
      <c r="I52" s="18">
        <f>IF(AND(G52="상",H52="상"),"매우 높음",IF(OR(AND(G52="상",H52="중"),AND(G52="중",H52="상")),"높음",IF(OR(AND(G52="중",H52="중"),AND(G52="상",H52="하"),AND(G52="하",H52="상")),"보통","낮음")))</f>
        <v/>
      </c>
      <c r="J52" s="17" t="inlineStr">
        <is>
          <t>텍스트 DLP 우회 노출(입력 범위)</t>
        </is>
      </c>
      <c r="K52" s="19" t="inlineStr">
        <is>
          <t>이론·시나리오</t>
        </is>
      </c>
      <c r="L52" s="20" t="n">
        <v>0</v>
      </c>
      <c r="M52" s="17" t="inlineStr">
        <is>
          <t>해당 없음(구조적 결함)</t>
        </is>
      </c>
      <c r="N52" s="21" t="n"/>
      <c r="O52" s="21" t="inlineStr">
        <is>
          <t>DSGAI09</t>
        </is>
      </c>
      <c r="P52" s="21" t="inlineStr">
        <is>
          <t>• [OWASP 시나리오] API 키가 보이는 관리자 화면 스크린샷을 AI에 공유(DSGAI09 시나리오)</t>
        </is>
      </c>
      <c r="Q52" s="17" t="inlineStr">
        <is>
          <t>학습·색인 전 비식별화, 문서별 ACL 기반 검색, 입·출력 DLP(멀티모달 포함), 필요 최소 컨텍스트</t>
        </is>
      </c>
    </row>
    <row r="53" ht="63.75" customHeight="1">
      <c r="A53" s="27" t="inlineStr">
        <is>
          <t>D03. AI 데이터 오염 및 유출</t>
        </is>
      </c>
      <c r="B53" s="28" t="inlineStr">
        <is>
          <t>UT-13</t>
        </is>
      </c>
      <c r="C53" s="29" t="inlineStr">
        <is>
          <t>사용자 간 데이터 격리 실패</t>
        </is>
      </c>
      <c r="D53" s="15" t="inlineStr">
        <is>
          <t>UT-13.1</t>
        </is>
      </c>
      <c r="E53" s="16" t="inlineStr">
        <is>
          <t>세션 간 데이터 혼입</t>
        </is>
      </c>
      <c r="F53" s="21" t="inlineStr">
        <is>
          <t>KV 캐시/세션 상태/공유 대화 컨텍스트의 격리 결함으로 한 사용자의 프롬프트와 응답이 다른 사용자 세션에 노출</t>
        </is>
      </c>
      <c r="G53" s="18" t="inlineStr">
        <is>
          <t>중</t>
        </is>
      </c>
      <c r="H53" s="18" t="inlineStr">
        <is>
          <t>중</t>
        </is>
      </c>
      <c r="I53" s="18">
        <f>IF(AND(G53="상",H53="상"),"매우 높음",IF(OR(AND(G53="상",H53="중"),AND(G53="중",H53="상")),"높음",IF(OR(AND(G53="중",H53="중"),AND(G53="상",H53="하"),AND(G53="하",H53="상")),"보통","낮음")))</f>
        <v/>
      </c>
      <c r="J53" s="17" t="inlineStr">
        <is>
          <t>타 사용자 대화 일부 노출(비의도적, 범위 가변)</t>
        </is>
      </c>
      <c r="K53" s="19" t="inlineStr">
        <is>
          <t>실증·공개 취약점</t>
        </is>
      </c>
      <c r="L53" s="20" t="n">
        <v>0</v>
      </c>
      <c r="M53" s="17" t="inlineStr">
        <is>
          <t>수집(Collection)</t>
        </is>
      </c>
      <c r="N53" s="21" t="n"/>
      <c r="O53" s="21" t="inlineStr">
        <is>
          <t>DSGAI11, MCP10</t>
        </is>
      </c>
      <c r="P53" s="21" t="inlineStr">
        <is>
          <t>• [OWASP 인용] CVE-2025-6515 oatpp-mcp 세션 식별자 결함
• [OWASP 시나리오] 공유 추론 상태 결함으로 타 사용자의 의료 서신 노출(LLM02 시나리오#2)</t>
        </is>
      </c>
      <c r="Q53" s="17" t="inlineStr">
        <is>
          <t>검색 전 테넌트 필터, 테넌트별 인덱스·캐시 분리, 벡터 DB 인증·암호화·내보내기 제한</t>
        </is>
      </c>
    </row>
    <row r="54" ht="63.75" customHeight="1">
      <c r="A54" s="27" t="inlineStr">
        <is>
          <t>D03. AI 데이터 오염 및 유출</t>
        </is>
      </c>
      <c r="B54" s="28" t="inlineStr">
        <is>
          <t>UT-13</t>
        </is>
      </c>
      <c r="C54" s="29" t="inlineStr">
        <is>
          <t>사용자 간 데이터 격리 실패</t>
        </is>
      </c>
      <c r="D54" s="15" t="inlineStr">
        <is>
          <t>UT-13.2</t>
        </is>
      </c>
      <c r="E54" s="16" t="inlineStr">
        <is>
          <t>테넌트 간 인덱스 유출</t>
        </is>
      </c>
      <c r="F54" s="17" t="inlineStr">
        <is>
          <t>공유 벡터 인덱스의 검색 후 필터링 구조로 인해 다른 테넌트 데이터가 검색 결과/유사도 점수/응답 지연을 통해 노출</t>
        </is>
      </c>
      <c r="G54" s="18" t="inlineStr">
        <is>
          <t>하</t>
        </is>
      </c>
      <c r="H54" s="18" t="inlineStr">
        <is>
          <t>상</t>
        </is>
      </c>
      <c r="I54" s="18">
        <f>IF(AND(G54="상",H54="상"),"매우 높음",IF(OR(AND(G54="상",H54="중"),AND(G54="중",H54="상")),"높음",IF(OR(AND(G54="중",H54="중"),AND(G54="상",H54="하"),AND(G54="하",H54="상")),"보통","낮음")))</f>
        <v/>
      </c>
      <c r="J54" s="17" t="inlineStr">
        <is>
          <t>타 고객사 데이터 노출(다수 테넌트)</t>
        </is>
      </c>
      <c r="K54" s="19" t="inlineStr">
        <is>
          <t>이론·시나리오</t>
        </is>
      </c>
      <c r="L54" s="20" t="n">
        <v>0</v>
      </c>
      <c r="M54" s="17" t="inlineStr">
        <is>
          <t>수집(Collection)</t>
        </is>
      </c>
      <c r="N54" s="21" t="n"/>
      <c r="O54" s="21" t="inlineStr">
        <is>
          <t>LLM09</t>
        </is>
      </c>
      <c r="P54" s="21" t="inlineStr">
        <is>
          <t>• [OWASP 시나리오] 공유 벡터 인덱스의 교차 테넌트 추론(LLM09 시나리오#2), 로펌 간 공유 RAG 인덱스 유출(LLM02 시나리오#5)</t>
        </is>
      </c>
      <c r="Q54" s="17" t="inlineStr">
        <is>
          <t>검색 전 테넌트 필터, 테넌트별 인덱스·캐시 분리, 벡터 DB 인증·암호화·내보내기 제한</t>
        </is>
      </c>
    </row>
    <row r="55" ht="63.75" customHeight="1">
      <c r="A55" s="27" t="inlineStr">
        <is>
          <t>D03. AI 데이터 오염 및 유출</t>
        </is>
      </c>
      <c r="B55" s="28" t="inlineStr">
        <is>
          <t>UT-13</t>
        </is>
      </c>
      <c r="C55" s="29" t="inlineStr">
        <is>
          <t>사용자 간 데이터 격리 실패</t>
        </is>
      </c>
      <c r="D55" s="15" t="inlineStr">
        <is>
          <t>UT-13.3</t>
        </is>
      </c>
      <c r="E55" s="16" t="inlineStr">
        <is>
          <t>벡터 DB 플랫폼 취약점</t>
        </is>
      </c>
      <c r="F55" s="17" t="inlineStr">
        <is>
          <t>벡터 DB의 인증 미적용/기본 설정/경로 탐색 취약점을 악용하여 임베딩 및 원문 데이터 대량 탈취 또는 서버 장악</t>
        </is>
      </c>
      <c r="G55" s="18" t="inlineStr">
        <is>
          <t>중</t>
        </is>
      </c>
      <c r="H55" s="18" t="inlineStr">
        <is>
          <t>상</t>
        </is>
      </c>
      <c r="I55" s="18">
        <f>IF(AND(G55="상",H55="상"),"매우 높음",IF(OR(AND(G55="상",H55="중"),AND(G55="중",H55="상")),"높음",IF(OR(AND(G55="중",H55="중"),AND(G55="상",H55="하"),AND(G55="하",H55="상")),"보통","낮음")))</f>
        <v/>
      </c>
      <c r="J55" s="17" t="inlineStr">
        <is>
          <t>임베딩/원문 대량 탈취 및 서버 장악(RCE)</t>
        </is>
      </c>
      <c r="K55" s="19" t="inlineStr">
        <is>
          <t>실증·공개 취약점</t>
        </is>
      </c>
      <c r="L55" s="20" t="n">
        <v>0</v>
      </c>
      <c r="M55" s="17" t="inlineStr">
        <is>
          <t>초기 접근(Initial Access)</t>
        </is>
      </c>
      <c r="N55" s="21" t="n"/>
      <c r="O55" s="21" t="inlineStr">
        <is>
          <t>DSGAI13</t>
        </is>
      </c>
      <c r="P55" s="21" t="inlineStr">
        <is>
          <t>• [OWASP 인용] Qdrant CVE-2024-3584·CVE-2024-3829 / Milvus CVE-2025-64513 / RAGFlow CVE-2025-69286</t>
        </is>
      </c>
      <c r="Q55" s="17" t="inlineStr">
        <is>
          <t>검색 전 테넌트 필터, 테넌트별 인덱스·캐시 분리, 벡터 DB 인증·암호화·내보내기 제한</t>
        </is>
      </c>
    </row>
    <row r="56" ht="63.75" customHeight="1">
      <c r="A56" s="30" t="inlineStr">
        <is>
          <t>D04. 모델 조작 및 탈취</t>
        </is>
      </c>
      <c r="B56" s="31" t="inlineStr">
        <is>
          <t>UT-14</t>
        </is>
      </c>
      <c r="C56" s="32" t="inlineStr">
        <is>
          <t>모델 변조(백도어 삽입)</t>
        </is>
      </c>
      <c r="D56" s="15" t="inlineStr">
        <is>
          <t>UT-14.1</t>
        </is>
      </c>
      <c r="E56" s="16" t="inlineStr">
        <is>
          <t>가중치 조작</t>
        </is>
      </c>
      <c r="F56" s="17" t="inlineStr">
        <is>
          <t>모델 가중치를 직접 편집하거나 오염 데이터로 추가 학습하여, 일반 성능은 유지한 채 특정 질의에만 허위 응답/악성 동작을 수행하는 모델 생성</t>
        </is>
      </c>
      <c r="G56" s="18" t="inlineStr">
        <is>
          <t>중</t>
        </is>
      </c>
      <c r="H56" s="18" t="inlineStr">
        <is>
          <t>중</t>
        </is>
      </c>
      <c r="I56" s="18">
        <f>IF(AND(G56="상",H56="상"),"매우 높음",IF(OR(AND(G56="상",H56="중"),AND(G56="중",H56="상")),"높음",IF(OR(AND(G56="중",H56="중"),AND(G56="상",H56="하"),AND(G56="하",H56="상")),"보통","낮음")))</f>
        <v/>
      </c>
      <c r="J56" s="17" t="inlineStr">
        <is>
          <t>특정 질의 대상 허위 응답(무결성 훼손)</t>
        </is>
      </c>
      <c r="K56" s="19" t="inlineStr">
        <is>
          <t>실사용 기법 포함</t>
        </is>
      </c>
      <c r="L56" s="20" t="n">
        <v>0</v>
      </c>
      <c r="M56" s="17" t="inlineStr">
        <is>
          <t>지속성(Persistence)</t>
        </is>
      </c>
      <c r="N56" s="21" t="inlineStr">
        <is>
          <t>T0018, T0018.000</t>
        </is>
      </c>
      <c r="O56" s="21" t="inlineStr">
        <is>
          <t>LLM05, DSGAI04</t>
        </is>
      </c>
      <c r="P56" s="21" t="inlineStr">
        <is>
          <t>• [ATLAS CS0019·실증] LLM 가중치를 편집해 허위 사실을 답하게 만든 뒤 Hugging Face에 배포(PoisonGPT)
• [ATLAS CS0027·실증] 실존 기업을 사칭한 Hugging Face 조직 계정으로 악성 모델 유포
• [ATLAS CS0028·실증] 노출된 사설 컨테이너 레지스트리 8천여 개 발견, 모델 이미지 변조 가능성 입증</t>
        </is>
      </c>
      <c r="Q56" s="17" t="inlineStr">
        <is>
          <t>아티팩트 서명·해시 검증, 안전 포맷 사용 및 로딩 격리, 배포 전 모델 검증·백도어 스캔</t>
        </is>
      </c>
    </row>
    <row r="57" ht="63.75" customHeight="1">
      <c r="A57" s="30" t="inlineStr">
        <is>
          <t>D04. 모델 조작 및 탈취</t>
        </is>
      </c>
      <c r="B57" s="31" t="inlineStr">
        <is>
          <t>UT-14</t>
        </is>
      </c>
      <c r="C57" s="32" t="inlineStr">
        <is>
          <t>모델 변조(백도어 삽입)</t>
        </is>
      </c>
      <c r="D57" s="15" t="inlineStr">
        <is>
          <t>UT-14.2</t>
        </is>
      </c>
      <c r="E57" s="16" t="inlineStr">
        <is>
          <t>모델 구조 변조</t>
        </is>
      </c>
      <c r="F57" s="17" t="inlineStr">
        <is>
          <t>모델 아키텍처/로딩 코드 변경 또는 모델 파일 내 악성 코드 삽입을 통해 모델 로딩 시점에 임의 코드 실행 또는 백도어 동작 활성화</t>
        </is>
      </c>
      <c r="G57" s="18" t="inlineStr">
        <is>
          <t>중</t>
        </is>
      </c>
      <c r="H57" s="18" t="inlineStr">
        <is>
          <t>상</t>
        </is>
      </c>
      <c r="I57" s="18">
        <f>IF(AND(G57="상",H57="상"),"매우 높음",IF(OR(AND(G57="상",H57="중"),AND(G57="중",H57="상")),"높음",IF(OR(AND(G57="중",H57="중"),AND(G57="상",H57="하"),AND(G57="하",H57="상")),"보통","낮음")))</f>
        <v/>
      </c>
      <c r="J57" s="17" t="inlineStr">
        <is>
          <t>모델 로딩 시 호스트 코드 실행</t>
        </is>
      </c>
      <c r="K57" s="19" t="inlineStr">
        <is>
          <t>실제 사고 확인</t>
        </is>
      </c>
      <c r="L57" s="20" t="n">
        <v>1</v>
      </c>
      <c r="M57" s="17" t="inlineStr">
        <is>
          <t>지속성(Persistence)</t>
        </is>
      </c>
      <c r="N57" s="21" t="inlineStr">
        <is>
          <t>T0018.001, T0018.002, T0076, T0112.001</t>
        </is>
      </c>
      <c r="O57" s="21" t="inlineStr">
        <is>
          <t>DSGAI04</t>
        </is>
      </c>
      <c r="P57" s="21" t="inlineStr">
        <is>
          <t>• [ATLAS CS0013·실증] 모바일 앱에서 추출한 딥러닝 모델에 백도어 삽입 후 재패키징
• [ATLAS CS0031·실제사고] Hugging Face에 역쉘을 내장한 악성 모델 호스팅(실제 사고)
• [ATLAS CS0027·실증] 실존 기업을 사칭한 Hugging Face 조직 계정으로 악성 모델 유포</t>
        </is>
      </c>
      <c r="Q57" s="17" t="inlineStr">
        <is>
          <t>아티팩트 서명·해시 검증, 안전 포맷 사용 및 로딩 격리, 배포 전 모델 검증·백도어 스캔</t>
        </is>
      </c>
    </row>
    <row r="58" ht="63.75" customHeight="1">
      <c r="A58" s="30" t="inlineStr">
        <is>
          <t>D04. 모델 조작 및 탈취</t>
        </is>
      </c>
      <c r="B58" s="31" t="inlineStr">
        <is>
          <t>UT-14</t>
        </is>
      </c>
      <c r="C58" s="32" t="inlineStr">
        <is>
          <t>모델 변조(백도어 삽입)</t>
        </is>
      </c>
      <c r="D58" s="15" t="inlineStr">
        <is>
          <t>UT-14.3</t>
        </is>
      </c>
      <c r="E58" s="16" t="inlineStr">
        <is>
          <t>추론 템플릿 변조</t>
        </is>
      </c>
      <c r="F58" s="17" t="inlineStr">
        <is>
          <t>채팅 템플릿(예: GGUF)/프롬프트 구성 로직에 조건부 지시를 삽입하여 가중치 변경 없이 추론 시점에 백도어 동작 유발</t>
        </is>
      </c>
      <c r="G58" s="18" t="inlineStr">
        <is>
          <t>중</t>
        </is>
      </c>
      <c r="H58" s="18" t="inlineStr">
        <is>
          <t>중</t>
        </is>
      </c>
      <c r="I58" s="18">
        <f>IF(AND(G58="상",H58="상"),"매우 높음",IF(OR(AND(G58="상",H58="중"),AND(G58="중",H58="상")),"높음",IF(OR(AND(G58="중",H58="중"),AND(G58="상",H58="하"),AND(G58="하",H58="상")),"보통","낮음")))</f>
        <v/>
      </c>
      <c r="J58" s="17" t="inlineStr">
        <is>
          <t>가중치 변경 없는 응답 조작(무결성 훼손)</t>
        </is>
      </c>
      <c r="K58" s="19" t="inlineStr">
        <is>
          <t>실증·공개 취약점</t>
        </is>
      </c>
      <c r="L58" s="20" t="n">
        <v>0</v>
      </c>
      <c r="M58" s="17" t="inlineStr">
        <is>
          <t>지속성(Persistence)</t>
        </is>
      </c>
      <c r="N58" s="21" t="inlineStr">
        <is>
          <t>T0018.003</t>
        </is>
      </c>
      <c r="O58" s="21" t="inlineStr">
        <is>
          <t>LLM05</t>
        </is>
      </c>
      <c r="P58" s="21" t="inlineStr">
        <is>
          <t>• [ATLAS CS0064·실증] GGUF 채팅 템플릿을 오염시켜 가중치 변경 없이 추론 시점 백도어 구현</t>
        </is>
      </c>
      <c r="Q58" s="17" t="inlineStr">
        <is>
          <t>아티팩트 서명·해시 검증, 안전 포맷 사용 및 로딩 격리, 배포 전 모델 검증·백도어 스캔</t>
        </is>
      </c>
    </row>
    <row r="59" ht="63.75" customHeight="1">
      <c r="A59" s="30" t="inlineStr">
        <is>
          <t>D04. 모델 조작 및 탈취</t>
        </is>
      </c>
      <c r="B59" s="31" t="inlineStr">
        <is>
          <t>UT-14</t>
        </is>
      </c>
      <c r="C59" s="32" t="inlineStr">
        <is>
          <t>모델 변조(백도어 삽입)</t>
        </is>
      </c>
      <c r="D59" s="15" t="inlineStr">
        <is>
          <t>UT-14.4</t>
        </is>
      </c>
      <c r="E59" s="16" t="inlineStr">
        <is>
          <t>백도어 트리거 활성화</t>
        </is>
      </c>
      <c r="F59" s="17" t="inlineStr">
        <is>
          <t>학습 단계에서 심어진 백도어를 특정 패턴(이미지 패치/키워드)이 포함된 입력으로 활성화하여 공격자 지정 출력 유도</t>
        </is>
      </c>
      <c r="G59" s="18" t="inlineStr">
        <is>
          <t>중</t>
        </is>
      </c>
      <c r="H59" s="18" t="inlineStr">
        <is>
          <t>중</t>
        </is>
      </c>
      <c r="I59" s="18">
        <f>IF(AND(G59="상",H59="상"),"매우 높음",IF(OR(AND(G59="상",H59="중"),AND(G59="중",H59="상")),"높음",IF(OR(AND(G59="중",H59="중"),AND(G59="상",H59="하"),AND(G59="하",H59="상")),"보통","낮음")))</f>
        <v/>
      </c>
      <c r="J59" s="17" t="inlineStr">
        <is>
          <t>트리거 조건 범위 내 오작동</t>
        </is>
      </c>
      <c r="K59" s="19" t="inlineStr">
        <is>
          <t>실증·공개 취약점</t>
        </is>
      </c>
      <c r="L59" s="20" t="n">
        <v>0</v>
      </c>
      <c r="M59" s="21" t="inlineStr">
        <is>
          <t>AI 공격 적응(AI Attack Adaptation)</t>
        </is>
      </c>
      <c r="N59" s="21" t="inlineStr">
        <is>
          <t>T0043.004</t>
        </is>
      </c>
      <c r="O59" s="21" t="inlineStr">
        <is>
          <t>LLM05</t>
        </is>
      </c>
      <c r="P59" s="21" t="inlineStr">
        <is>
          <t>• [ATLAS CS0013·실증] 모바일 앱에서 추출한 딥러닝 모델에 백도어 삽입 후 재패키징
• [OWASP 시나리오] 백도어 트리거를 포함한 입력으로 오염 모델 활성화(ATLAS T0043.004 기법 정의)</t>
        </is>
      </c>
      <c r="Q59" s="17" t="inlineStr">
        <is>
          <t>아티팩트 서명·해시 검증, 안전 포맷 사용 및 로딩 격리, 배포 전 모델 검증·백도어 스캔</t>
        </is>
      </c>
    </row>
    <row r="60" ht="63.75" customHeight="1">
      <c r="A60" s="30" t="inlineStr">
        <is>
          <t>D04. 모델 조작 및 탈취</t>
        </is>
      </c>
      <c r="B60" s="31" t="inlineStr">
        <is>
          <t>UT-15</t>
        </is>
      </c>
      <c r="C60" s="32" t="inlineStr">
        <is>
          <t>모델을 이용한 데이터 추론 공격</t>
        </is>
      </c>
      <c r="D60" s="15" t="inlineStr">
        <is>
          <t>UT-15.1</t>
        </is>
      </c>
      <c r="E60" s="16" t="inlineStr">
        <is>
          <t>멤버십 추론</t>
        </is>
      </c>
      <c r="F60" s="17" t="inlineStr">
        <is>
          <t>모델 응답의 확신도/손실 패턴을 분석하여 특정 개인/레코드의 학습 데이터 포함 여부를 판별</t>
        </is>
      </c>
      <c r="G60" s="18" t="inlineStr">
        <is>
          <t>중</t>
        </is>
      </c>
      <c r="H60" s="18" t="inlineStr">
        <is>
          <t>중</t>
        </is>
      </c>
      <c r="I60" s="18">
        <f>IF(AND(G60="상",H60="상"),"매우 높음",IF(OR(AND(G60="상",H60="중"),AND(G60="중",H60="상")),"높음",IF(OR(AND(G60="중",H60="중"),AND(G60="상",H60="하"),AND(G60="하",H60="상")),"보통","낮음")))</f>
        <v/>
      </c>
      <c r="J60" s="17" t="inlineStr">
        <is>
          <t>특정 개인 단위 프라이버시 침해</t>
        </is>
      </c>
      <c r="K60" s="19" t="inlineStr">
        <is>
          <t>실사용 기법 포함</t>
        </is>
      </c>
      <c r="L60" s="20" t="n">
        <v>0</v>
      </c>
      <c r="M60" s="17" t="inlineStr">
        <is>
          <t>유출(Exfiltration)</t>
        </is>
      </c>
      <c r="N60" s="21" t="inlineStr">
        <is>
          <t>T0024, T0024.000</t>
        </is>
      </c>
      <c r="O60" s="21" t="inlineStr">
        <is>
          <t>LLM02, DSGAI18</t>
        </is>
      </c>
      <c r="P60" s="21" t="inlineStr">
        <is>
          <t>• [OWASP 시나리오] 임상 파인튜닝 모델에서 특정 환자의 학습 포함 여부 추론(LLM02 시나리오#8)</t>
        </is>
      </c>
      <c r="Q60" s="17" t="inlineStr">
        <is>
          <t>차등프라이버시 학습, 출력 확률 난독화, 쿼리량 제한, 멤버십 추론 감사</t>
        </is>
      </c>
    </row>
    <row r="61" ht="63.75" customHeight="1">
      <c r="A61" s="30" t="inlineStr">
        <is>
          <t>D04. 모델 조작 및 탈취</t>
        </is>
      </c>
      <c r="B61" s="31" t="inlineStr">
        <is>
          <t>UT-15</t>
        </is>
      </c>
      <c r="C61" s="32" t="inlineStr">
        <is>
          <t>모델을 이용한 데이터 추론 공격</t>
        </is>
      </c>
      <c r="D61" s="15" t="inlineStr">
        <is>
          <t>UT-15.2</t>
        </is>
      </c>
      <c r="E61" s="16" t="inlineStr">
        <is>
          <t>원본 복원(역전) 공격</t>
        </is>
      </c>
      <c r="F61" s="17" t="inlineStr">
        <is>
          <t>모델 출력 또는 유출된 임베딩 벡터를 역산하여 학습 데이터/원문 텍스트를 복원</t>
        </is>
      </c>
      <c r="G61" s="18" t="inlineStr">
        <is>
          <t>하</t>
        </is>
      </c>
      <c r="H61" s="18" t="inlineStr">
        <is>
          <t>중</t>
        </is>
      </c>
      <c r="I61" s="18">
        <f>IF(AND(G61="상",H61="상"),"매우 높음",IF(OR(AND(G61="상",H61="중"),AND(G61="중",H61="상")),"높음",IF(OR(AND(G61="중",H61="중"),AND(G61="상",H61="하"),AND(G61="하",H61="상")),"보통","낮음")))</f>
        <v/>
      </c>
      <c r="J61" s="17" t="inlineStr">
        <is>
          <t>원문 복원(임베딩 대량 유출 시 피해 확대)</t>
        </is>
      </c>
      <c r="K61" s="19" t="inlineStr">
        <is>
          <t>이론·시나리오</t>
        </is>
      </c>
      <c r="L61" s="20" t="n">
        <v>0</v>
      </c>
      <c r="M61" s="17" t="inlineStr">
        <is>
          <t>유출(Exfiltration)</t>
        </is>
      </c>
      <c r="N61" s="21" t="inlineStr">
        <is>
          <t>T0024.001</t>
        </is>
      </c>
      <c r="O61" s="21" t="inlineStr">
        <is>
          <t>DSGAI18</t>
        </is>
      </c>
      <c r="P61" s="21" t="inlineStr">
        <is>
          <t>• [OWASP 시나리오] 유출된 '임베딩 전용' 백업이 역전 공격으로 원문 유출(LLM02 시나리오#6)</t>
        </is>
      </c>
      <c r="Q61" s="17" t="inlineStr">
        <is>
          <t>차등프라이버시 학습, 출력 확률 난독화, 쿼리량 제한, 멤버십 추론 감사</t>
        </is>
      </c>
    </row>
    <row r="62" ht="63.75" customHeight="1">
      <c r="A62" s="30" t="inlineStr">
        <is>
          <t>D04. 모델 조작 및 탈취</t>
        </is>
      </c>
      <c r="B62" s="31" t="inlineStr">
        <is>
          <t>UT-15</t>
        </is>
      </c>
      <c r="C62" s="32" t="inlineStr">
        <is>
          <t>모델을 이용한 데이터 추론 공격</t>
        </is>
      </c>
      <c r="D62" s="15" t="inlineStr">
        <is>
          <t>UT-15.3</t>
        </is>
      </c>
      <c r="E62" s="16" t="inlineStr">
        <is>
          <t>부채널 추론</t>
        </is>
      </c>
      <c r="F62" s="17" t="inlineStr">
        <is>
          <t>응답 길이/토큰 스트리밍 패턴/응답 지연 등 부가 정보를 관찰하여 암호화된 대화의 주제나 모델 내부 상태 추론</t>
        </is>
      </c>
      <c r="G62" s="18" t="inlineStr">
        <is>
          <t>중</t>
        </is>
      </c>
      <c r="H62" s="18" t="inlineStr">
        <is>
          <t>하</t>
        </is>
      </c>
      <c r="I62" s="18">
        <f>IF(AND(G62="상",H62="상"),"매우 높음",IF(OR(AND(G62="상",H62="중"),AND(G62="중",H62="상")),"높음",IF(OR(AND(G62="중",H62="중"),AND(G62="상",H62="하"),AND(G62="하",H62="상")),"보통","낮음")))</f>
        <v/>
      </c>
      <c r="J62" s="17" t="inlineStr">
        <is>
          <t>대화 주제 수준 추론(노출 제한적)</t>
        </is>
      </c>
      <c r="K62" s="19" t="inlineStr">
        <is>
          <t>실증·공개 취약점</t>
        </is>
      </c>
      <c r="L62" s="20" t="n">
        <v>0</v>
      </c>
      <c r="M62" s="17" t="inlineStr">
        <is>
          <t>탐색(Discovery)</t>
        </is>
      </c>
      <c r="N62" s="21" t="inlineStr">
        <is>
          <t>T0063</t>
        </is>
      </c>
      <c r="O62" s="21" t="inlineStr">
        <is>
          <t>LLM02</t>
        </is>
      </c>
      <c r="P62" s="21" t="inlineStr">
        <is>
          <t>• [ATLAS CS0003·실증] Cylance AI 악성코드 탐지기의 판단 로직을 분석해 범용 우회 문자열 생성
• [ATLAS CS0008·실증] ProofPoint 이메일 보호 모델의 복제본을 만들어 실서비스 탐지 회피
• [OWASP 시나리오] 암호화 스트리밍 응답 패턴으로 질의 주제 추론(Whisper Leak, LLM02 시나리오#7)</t>
        </is>
      </c>
      <c r="Q62" s="17" t="inlineStr">
        <is>
          <t>차등프라이버시 학습, 출력 확률 난독화, 쿼리량 제한, 멤버십 추론 감사</t>
        </is>
      </c>
    </row>
    <row r="63" ht="63.75" customHeight="1">
      <c r="A63" s="30" t="inlineStr">
        <is>
          <t>D04. 모델 조작 및 탈취</t>
        </is>
      </c>
      <c r="B63" s="31" t="inlineStr">
        <is>
          <t>UT-16</t>
        </is>
      </c>
      <c r="C63" s="32" t="inlineStr">
        <is>
          <t>모델 탈취</t>
        </is>
      </c>
      <c r="D63" s="15" t="inlineStr">
        <is>
          <t>UT-16.1</t>
        </is>
      </c>
      <c r="E63" s="16" t="inlineStr">
        <is>
          <t>질의 기반 모델 복제</t>
        </is>
      </c>
      <c r="F63" s="17" t="inlineStr">
        <is>
          <t>대량 API 질의 결과를 학습 데이터로 활용하여 대상 모델 기능을 복제한 대리 모델을 구축하고, 지식재산 탈취 및 화이트박스 공격 준비에 활용</t>
        </is>
      </c>
      <c r="G63" s="18" t="inlineStr">
        <is>
          <t>중</t>
        </is>
      </c>
      <c r="H63" s="18" t="inlineStr">
        <is>
          <t>중</t>
        </is>
      </c>
      <c r="I63" s="18">
        <f>IF(AND(G63="상",H63="상"),"매우 높음",IF(OR(AND(G63="상",H63="중"),AND(G63="중",H63="상")),"높음",IF(OR(AND(G63="중",H63="중"),AND(G63="상",H63="하"),AND(G63="하",H63="상")),"보통","낮음")))</f>
        <v/>
      </c>
      <c r="J63" s="17" t="inlineStr">
        <is>
          <t>지식재산 손실(시스템 통제 영향 없음)</t>
        </is>
      </c>
      <c r="K63" s="19" t="inlineStr">
        <is>
          <t>실제 사고 확인</t>
        </is>
      </c>
      <c r="L63" s="20" t="n">
        <v>1</v>
      </c>
      <c r="M63" s="17" t="inlineStr">
        <is>
          <t>유출(Exfiltration)</t>
        </is>
      </c>
      <c r="N63" s="21" t="inlineStr">
        <is>
          <t>T0024.002, T0005, T0005.000, T0005.001, T0005.002</t>
        </is>
      </c>
      <c r="O63" s="21" t="inlineStr">
        <is>
          <t>DSGAI20</t>
        </is>
      </c>
      <c r="P63" s="21" t="inlineStr">
        <is>
          <t>• [ATLAS CS0056·실제사고] 약 2.4만 계정·1,600만 쿼리로 Claude 능력을 증류하려는 캠페인 적발(실제 사고)
• [ATLAS CS0005·실증] 번역 API 질의로 모델을 복제하고 적대적 예제를 원 서비스에 전이
• [ATLAS CS0007·실증] 공개 정보로 GPT-2 규모 모델을 재현(모델 복제)</t>
        </is>
      </c>
      <c r="Q63" s="17" t="inlineStr">
        <is>
          <t>쿼리량·패턴 제한, 증류 캠페인 탐지, 워터마킹, 모델 아티팩트 암호화·접근통제</t>
        </is>
      </c>
    </row>
    <row r="64" ht="63.75" customHeight="1">
      <c r="A64" s="30" t="inlineStr">
        <is>
          <t>D04. 모델 조작 및 탈취</t>
        </is>
      </c>
      <c r="B64" s="31" t="inlineStr">
        <is>
          <t>UT-16</t>
        </is>
      </c>
      <c r="C64" s="32" t="inlineStr">
        <is>
          <t>모델 탈취</t>
        </is>
      </c>
      <c r="D64" s="15" t="inlineStr">
        <is>
          <t>UT-16.2</t>
        </is>
      </c>
      <c r="E64" s="16" t="inlineStr">
        <is>
          <t>모델 파일 탈취</t>
        </is>
      </c>
      <c r="F64" s="17" t="inlineStr">
        <is>
          <t>앱 패키지/모델 저장소/학습 클러스터에서 모델 가중치 및 데이터셋 등 AI 아티팩트 파일을 직접 수집하여 반출</t>
        </is>
      </c>
      <c r="G64" s="18" t="inlineStr">
        <is>
          <t>중</t>
        </is>
      </c>
      <c r="H64" s="18" t="inlineStr">
        <is>
          <t>상</t>
        </is>
      </c>
      <c r="I64" s="18">
        <f>IF(AND(G64="상",H64="상"),"매우 높음",IF(OR(AND(G64="상",H64="중"),AND(G64="중",H64="상")),"높음",IF(OR(AND(G64="중",H64="중"),AND(G64="상",H64="하"),AND(G64="하",H64="상")),"보통","낮음")))</f>
        <v/>
      </c>
      <c r="J64" s="17" t="inlineStr">
        <is>
          <t>핵심 모델 자산 및 학습 데이터 일괄 탈취</t>
        </is>
      </c>
      <c r="K64" s="19" t="inlineStr">
        <is>
          <t>실제 사고 확인</t>
        </is>
      </c>
      <c r="L64" s="20" t="n">
        <v>1</v>
      </c>
      <c r="M64" s="17" t="inlineStr">
        <is>
          <t>수집(Collection)</t>
        </is>
      </c>
      <c r="N64" s="21" t="inlineStr">
        <is>
          <t>T0035</t>
        </is>
      </c>
      <c r="O64" s="21" t="inlineStr">
        <is>
          <t>DSGAI20</t>
        </is>
      </c>
      <c r="P64" s="21" t="inlineStr">
        <is>
          <t>• [ATLAS CS0058·실증] Google Photos 앱에서 암호화되지 않은 TFLite 모델을 추출
• [ATLAS CS0023·실제사고] 인증 없는 Ray 클러스터를 탈취해 연산자원·자격증명·모델 탈취(ShadowRay, 실제 사고)
• [ATLAS CS0010·실증] 레드팀이 기존 침투기법과 AI 회피를 결합해 Azure 내부 서비스 중단 시연</t>
        </is>
      </c>
      <c r="Q64" s="17" t="inlineStr">
        <is>
          <t>쿼리량·패턴 제한, 증류 캠페인 탐지, 워터마킹, 모델 아티팩트 암호화·접근통제</t>
        </is>
      </c>
    </row>
    <row r="65" ht="63.75" customHeight="1">
      <c r="A65" s="30" t="inlineStr">
        <is>
          <t>D04. 모델 조작 및 탈취</t>
        </is>
      </c>
      <c r="B65" s="31" t="inlineStr">
        <is>
          <t>UT-17</t>
        </is>
      </c>
      <c r="C65" s="32" t="inlineStr">
        <is>
          <t>예측 AI 회피 공격</t>
        </is>
      </c>
      <c r="D65" s="15" t="inlineStr">
        <is>
          <t>UT-17.1</t>
        </is>
      </c>
      <c r="E65" s="16" t="inlineStr">
        <is>
          <t>디지털 적대적 예제</t>
        </is>
      </c>
      <c r="F65" s="17" t="inlineStr">
        <is>
          <t>모델 경사 정보/대리 모델/반복 질의로 최적화한 미세 섭동 입력을 생성하여 탐지/분류 모델의 오판(예: 악성코드를 정상으로 분류) 유도</t>
        </is>
      </c>
      <c r="G65" s="18" t="inlineStr">
        <is>
          <t>상</t>
        </is>
      </c>
      <c r="H65" s="18" t="inlineStr">
        <is>
          <t>중</t>
        </is>
      </c>
      <c r="I65" s="18">
        <f>IF(AND(G65="상",H65="상"),"매우 높음",IF(OR(AND(G65="상",H65="중"),AND(G65="중",H65="상")),"높음",IF(OR(AND(G65="중",H65="중"),AND(G65="상",H65="하"),AND(G65="하",H65="상")),"보통","낮음")))</f>
        <v/>
      </c>
      <c r="J65" s="17" t="inlineStr">
        <is>
          <t>특정 판단 단위 오분류(보안 탐지 우회 시 피해 확대)</t>
        </is>
      </c>
      <c r="K65" s="19" t="inlineStr">
        <is>
          <t>실제 사고 확인</t>
        </is>
      </c>
      <c r="L65" s="20" t="n">
        <v>6</v>
      </c>
      <c r="M65" s="17" t="inlineStr">
        <is>
          <t>방어 회피(Defense Evasion)</t>
        </is>
      </c>
      <c r="N65" s="21" t="inlineStr">
        <is>
          <t>T0015, T0043, T0043.000, T0043.001, T0043.002, T0043.003, T0042</t>
        </is>
      </c>
      <c r="O65" s="21" t="n"/>
      <c r="P65" s="21" t="inlineStr">
        <is>
          <t>• [ATLAS CS0004·실제사고] 카메라 영상 주입으로 얼굴인식 인증을 우회해 세금 사기(실제 사고)
• [ATLAS CS0017·실제사고] ID.me 자동 신원확인을 우회해 180건 이상 허위 실업급여 청구(실제 사고)
• [ATLAS CS0032·실제사고] 피싱 사이트가 ML 기반 피싱 탐지기를 회피하도록 시각 요소 변형(실제 사고)</t>
        </is>
      </c>
      <c r="Q65" s="17" t="inlineStr">
        <is>
          <t>적대적 학습·모델 강건화, 입력 복원, 앙상블·다중센서 융합, 적대적 입력 탐지</t>
        </is>
      </c>
    </row>
    <row r="66" ht="63.75" customHeight="1">
      <c r="A66" s="30" t="inlineStr">
        <is>
          <t>D04. 모델 조작 및 탈취</t>
        </is>
      </c>
      <c r="B66" s="31" t="inlineStr">
        <is>
          <t>UT-17</t>
        </is>
      </c>
      <c r="C66" s="32" t="inlineStr">
        <is>
          <t>예측 AI 회피 공격</t>
        </is>
      </c>
      <c r="D66" s="15" t="inlineStr">
        <is>
          <t>UT-17.2</t>
        </is>
      </c>
      <c r="E66" s="16" t="inlineStr">
        <is>
          <t>물리적 적대적 객체</t>
        </is>
      </c>
      <c r="F66" s="17" t="inlineStr">
        <is>
          <t>패치/안경/표지 등 물리적 대응물을 실제 환경에 배치하여 카메라 기반 인식 모델(얼굴인식/자율주행)의 오인식 유발</t>
        </is>
      </c>
      <c r="G66" s="18" t="inlineStr">
        <is>
          <t>중</t>
        </is>
      </c>
      <c r="H66" s="18" t="inlineStr">
        <is>
          <t>중</t>
        </is>
      </c>
      <c r="I66" s="18">
        <f>IF(AND(G66="상",H66="상"),"매우 높음",IF(OR(AND(G66="상",H66="중"),AND(G66="중",H66="상")),"높음",IF(OR(AND(G66="중",H66="중"),AND(G66="상",H66="하"),AND(G66="하",H66="상")),"보통","낮음")))</f>
        <v/>
      </c>
      <c r="J66" s="17" t="inlineStr">
        <is>
          <t>물리 보안 및 안전 영향(국지적)</t>
        </is>
      </c>
      <c r="K66" s="19" t="inlineStr">
        <is>
          <t>실증·공개 취약점</t>
        </is>
      </c>
      <c r="L66" s="20" t="n">
        <v>0</v>
      </c>
      <c r="M66" s="17" t="inlineStr">
        <is>
          <t>방어 회피(Defense Evasion)</t>
        </is>
      </c>
      <c r="N66" s="21" t="inlineStr">
        <is>
          <t>T0041</t>
        </is>
      </c>
      <c r="O66" s="21" t="n"/>
      <c r="P66" s="21" t="inlineStr">
        <is>
          <t>• [ATLAS CS0012·실증] 물리적 대응물로 상용 얼굴식별 서비스에 표적 오분류 유도
• [ATLAS CS0013·실증] 모바일 앱에서 추출한 딥러닝 모델에 백도어 삽입 후 재패키징</t>
        </is>
      </c>
      <c r="Q66" s="17" t="inlineStr">
        <is>
          <t>적대적 학습·모델 강건화, 입력 복원, 앙상블·다중센서 융합, 적대적 입력 탐지</t>
        </is>
      </c>
    </row>
    <row r="67" ht="63.75" customHeight="1">
      <c r="A67" s="33" t="inlineStr">
        <is>
          <t>D05. 출력 처리 결함 및 신뢰성 훼손</t>
        </is>
      </c>
      <c r="B67" s="34" t="inlineStr">
        <is>
          <t>UT-18</t>
        </is>
      </c>
      <c r="C67" s="35" t="inlineStr">
        <is>
          <t>부적절한 출력 처리</t>
        </is>
      </c>
      <c r="D67" s="15" t="inlineStr">
        <is>
          <t>UT-18.1</t>
        </is>
      </c>
      <c r="E67" s="16" t="inlineStr">
        <is>
          <t>렌더링 해석기 공격</t>
        </is>
      </c>
      <c r="F67" s="17" t="inlineStr">
        <is>
          <t>모델 출력의 HTML/마크다운/ANSI 제어문자가 브라우저/터미널/IDE에서 해석되어 스크립트 실행, 화면 위조, 세션 탈취 유발</t>
        </is>
      </c>
      <c r="G67" s="18" t="inlineStr">
        <is>
          <t>중</t>
        </is>
      </c>
      <c r="H67" s="18" t="inlineStr">
        <is>
          <t>중</t>
        </is>
      </c>
      <c r="I67" s="18">
        <f>IF(AND(G67="상",H67="상"),"매우 높음",IF(OR(AND(G67="상",H67="중"),AND(G67="중",H67="상")),"높음",IF(OR(AND(G67="중",H67="중"),AND(G67="상",H67="하"),AND(G67="하",H67="상")),"보통","낮음")))</f>
        <v/>
      </c>
      <c r="J67" s="17" t="inlineStr">
        <is>
          <t>세션 탈취 등 사용자 단위 피해</t>
        </is>
      </c>
      <c r="K67" s="19" t="inlineStr">
        <is>
          <t>실증·공개 취약점</t>
        </is>
      </c>
      <c r="L67" s="20" t="n">
        <v>0</v>
      </c>
      <c r="M67" s="17" t="inlineStr">
        <is>
          <t>실행(Execution)</t>
        </is>
      </c>
      <c r="N67" s="21" t="inlineStr">
        <is>
          <t>T0077</t>
        </is>
      </c>
      <c r="O67" s="21" t="inlineStr">
        <is>
          <t>LLM10</t>
        </is>
      </c>
      <c r="P67" s="21" t="inlineStr">
        <is>
          <t>• [ATLAS CS0060·실증] Lenovo 챗봇이 생성한 악성 HTML이 상담원 브라우저에서 실행되어 세션 쿠키 탈취(XSS)
• [ATLAS CS0021·실증] 웹페이지 간접 인젝션으로 ChatGPT 대화 내용을 이미지 URL로 유출
• [ATLAS CS0029·실증] 공유 Google 문서의 간접 인젝션으로 Bard 대화 내용 유출</t>
        </is>
      </c>
      <c r="Q67" s="17" t="inlineStr">
        <is>
          <t>출력 대상 시스템별 인코딩과 이스케이프, 쿼리 파라미터화·읽기전용 계정, 외부 리소스 자동 로딩 차단, 모델 독립적 출력 보안 계층</t>
        </is>
      </c>
    </row>
    <row r="68" ht="63.75" customHeight="1">
      <c r="A68" s="33" t="inlineStr">
        <is>
          <t>D05. 출력 처리 결함 및 신뢰성 훼손</t>
        </is>
      </c>
      <c r="B68" s="34" t="inlineStr">
        <is>
          <t>UT-18</t>
        </is>
      </c>
      <c r="C68" s="35" t="inlineStr">
        <is>
          <t>부적절한 출력 처리</t>
        </is>
      </c>
      <c r="D68" s="15" t="inlineStr">
        <is>
          <t>UT-18.2</t>
        </is>
      </c>
      <c r="E68" s="22" t="inlineStr">
        <is>
          <t>DB 질의 생성 공격</t>
        </is>
      </c>
      <c r="F68" s="17" t="inlineStr">
        <is>
          <t>자연어를 SQL/그래프 질의로 변환하는 기능에 조작 입력을 주입하여, 검증 없이 실행된 질의로 대량 조회/변경/삭제 수행</t>
        </is>
      </c>
      <c r="G68" s="18" t="inlineStr">
        <is>
          <t>중</t>
        </is>
      </c>
      <c r="H68" s="18" t="inlineStr">
        <is>
          <t>상</t>
        </is>
      </c>
      <c r="I68" s="18">
        <f>IF(AND(G68="상",H68="상"),"매우 높음",IF(OR(AND(G68="상",H68="중"),AND(G68="중",H68="상")),"높음",IF(OR(AND(G68="중",H68="중"),AND(G68="상",H68="하"),AND(G68="하",H68="상")),"보통","낮음")))</f>
        <v/>
      </c>
      <c r="J68" s="21" t="inlineStr">
        <is>
          <t>DB 전체 조회/변경/삭제 가능</t>
        </is>
      </c>
      <c r="K68" s="19" t="inlineStr">
        <is>
          <t>실사용 기법 포함</t>
        </is>
      </c>
      <c r="L68" s="20" t="n">
        <v>0</v>
      </c>
      <c r="M68" s="17" t="inlineStr">
        <is>
          <t>실행(Execution)</t>
        </is>
      </c>
      <c r="N68" s="21" t="n"/>
      <c r="O68" s="21" t="inlineStr">
        <is>
          <t>LLM10, DSGAI12</t>
        </is>
      </c>
      <c r="P68" s="21" t="inlineStr">
        <is>
          <t>• [OWASP 인용] LangChain GraphCypherQAChain CVE-2024-8309 / CVE-2024-7042
• [OWASP 시나리오] 채팅형 SQL 기능의 생성 쿼리가 검증 없이 실행되어 테이블 삭제(LLM10 시나리오#3)</t>
        </is>
      </c>
      <c r="Q68" s="17" t="inlineStr">
        <is>
          <t>출력 대상 시스템별 인코딩과 이스케이프, 쿼리 파라미터화·읽기전용 계정, 외부 리소스 자동 로딩 차단, 모델 독립적 출력 보안 계층</t>
        </is>
      </c>
    </row>
    <row r="69" ht="63.75" customHeight="1">
      <c r="A69" s="33" t="inlineStr">
        <is>
          <t>D05. 출력 처리 결함 및 신뢰성 훼손</t>
        </is>
      </c>
      <c r="B69" s="34" t="inlineStr">
        <is>
          <t>UT-18</t>
        </is>
      </c>
      <c r="C69" s="35" t="inlineStr">
        <is>
          <t>부적절한 출력 처리</t>
        </is>
      </c>
      <c r="D69" s="15" t="inlineStr">
        <is>
          <t>UT-18.3</t>
        </is>
      </c>
      <c r="E69" s="16" t="inlineStr">
        <is>
          <t>생성 코드의 무검증 사용</t>
        </is>
      </c>
      <c r="F69" s="17" t="inlineStr">
        <is>
          <t>모델이 생성한 코드/이메일 템플릿/설정을 검토 없이 배포하거나 후속 시스템에 전달하여 취약 코드 및 악성 구문이 운영 환경에 반영</t>
        </is>
      </c>
      <c r="G69" s="18" t="inlineStr">
        <is>
          <t>중</t>
        </is>
      </c>
      <c r="H69" s="18" t="inlineStr">
        <is>
          <t>중</t>
        </is>
      </c>
      <c r="I69" s="18">
        <f>IF(AND(G69="상",H69="상"),"매우 높음",IF(OR(AND(G69="상",H69="중"),AND(G69="중",H69="상")),"높음",IF(OR(AND(G69="중",H69="중"),AND(G69="상",H69="하"),AND(G69="하",H69="상")),"보통","낮음")))</f>
        <v/>
      </c>
      <c r="J69" s="17" t="inlineStr">
        <is>
          <t>취약 코드 및 악성 구문의 운영 반영</t>
        </is>
      </c>
      <c r="K69" s="19" t="inlineStr">
        <is>
          <t>실증·공개 취약점</t>
        </is>
      </c>
      <c r="L69" s="20" t="n">
        <v>0</v>
      </c>
      <c r="M69" s="17" t="inlineStr">
        <is>
          <t>실행(Execution)</t>
        </is>
      </c>
      <c r="N69" s="21" t="n"/>
      <c r="O69" s="21" t="inlineStr">
        <is>
          <t>LLM10</t>
        </is>
      </c>
      <c r="P69" s="21" t="inlineStr">
        <is>
          <t>• [ATLAS CS0052·실증] 11개 LLM 프레임워크에서 20개 RCE 취약점 발견, 인터넷 공개 앱에서 실증(LLMSmith)
• [OWASP 시나리오] 생성 코드·템플릿을 검토 없이 배포하여 취약점 반영(LLM10 시나리오#5·#6)</t>
        </is>
      </c>
      <c r="Q69" s="17" t="inlineStr">
        <is>
          <t>출력 대상 시스템별 인코딩과 이스케이프, 쿼리 파라미터화·읽기전용 계정, 외부 리소스 자동 로딩 차단, 모델 독립적 출력 보안 계층</t>
        </is>
      </c>
    </row>
    <row r="70" ht="63.75" customHeight="1">
      <c r="A70" s="33" t="inlineStr">
        <is>
          <t>D05. 출력 처리 결함 및 신뢰성 훼손</t>
        </is>
      </c>
      <c r="B70" s="34" t="inlineStr">
        <is>
          <t>UT-19</t>
        </is>
      </c>
      <c r="C70" s="33" t="inlineStr">
        <is>
          <t>AI를 통한 데이터 반출</t>
        </is>
      </c>
      <c r="D70" s="15" t="inlineStr">
        <is>
          <t>UT-19.1</t>
        </is>
      </c>
      <c r="E70" s="16" t="inlineStr">
        <is>
          <t>렌더링 채널 반출</t>
        </is>
      </c>
      <c r="F70" s="17" t="inlineStr">
        <is>
          <t>인젝션된 지시로 민감정보를 외부 이미지 URL/링크 파라미터에 삽입하게 하여, 클라이언트 자동 렌더링 시점에 사용자 조작 없이 데이터 반출</t>
        </is>
      </c>
      <c r="G70" s="18" t="inlineStr">
        <is>
          <t>중</t>
        </is>
      </c>
      <c r="H70" s="18" t="inlineStr">
        <is>
          <t>상</t>
        </is>
      </c>
      <c r="I70" s="18">
        <f>IF(AND(G70="상",H70="상"),"매우 높음",IF(OR(AND(G70="상",H70="중"),AND(G70="중",H70="상")),"높음",IF(OR(AND(G70="중",H70="중"),AND(G70="상",H70="하"),AND(G70="하",H70="상")),"보통","낮음")))</f>
        <v/>
      </c>
      <c r="J70" s="17" t="inlineStr">
        <is>
          <t>사용자 조작 없는 대량 유출(제로클릭)</t>
        </is>
      </c>
      <c r="K70" s="19" t="inlineStr">
        <is>
          <t>실증·공개 취약점</t>
        </is>
      </c>
      <c r="L70" s="20" t="n">
        <v>0</v>
      </c>
      <c r="M70" s="17" t="inlineStr">
        <is>
          <t>유출(Exfiltration)</t>
        </is>
      </c>
      <c r="N70" s="21" t="n"/>
      <c r="O70" s="21" t="n"/>
      <c r="P70" s="21" t="inlineStr">
        <is>
          <t>• [ATLAS CS0021·실증] 웹페이지 간접 인젝션으로 ChatGPT 대화 내용을 이미지 URL로 유출
• [ATLAS CS0029·실증] 공유 Google 문서의 간접 인젝션으로 Bard 대화 내용 유출
• [ATLAS CS0035·실증] 공개 채널 게시글의 간접 인젝션으로 Slack AI가 비공개 채널 데이터 유출</t>
        </is>
      </c>
      <c r="Q70" s="17" t="inlineStr">
        <is>
          <t>외부 URL 렌더링 차단·egress 허용목록, 도구 콜백 대상 검증, 유출 패턴 탐지</t>
        </is>
      </c>
    </row>
    <row r="71" ht="63.75" customHeight="1">
      <c r="A71" s="33" t="inlineStr">
        <is>
          <t>D05. 출력 처리 결함 및 신뢰성 훼손</t>
        </is>
      </c>
      <c r="B71" s="34" t="inlineStr">
        <is>
          <t>UT-19</t>
        </is>
      </c>
      <c r="C71" s="33" t="inlineStr">
        <is>
          <t>AI를 통한 데이터 반출</t>
        </is>
      </c>
      <c r="D71" s="15" t="inlineStr">
        <is>
          <t>UT-19.2</t>
        </is>
      </c>
      <c r="E71" s="16" t="inlineStr">
        <is>
          <t>도구 호출 경유 반출</t>
        </is>
      </c>
      <c r="F71" s="17" t="inlineStr">
        <is>
          <t>에이전트의 메일 발송/웹 요청/파일 공유 도구 호출 인자에 수집 데이터를 포함시켜 정상 업무 행위로 위장된 외부 전송 수행</t>
        </is>
      </c>
      <c r="G71" s="18" t="inlineStr">
        <is>
          <t>중</t>
        </is>
      </c>
      <c r="H71" s="18" t="inlineStr">
        <is>
          <t>상</t>
        </is>
      </c>
      <c r="I71" s="18">
        <f>IF(AND(G71="상",H71="상"),"매우 높음",IF(OR(AND(G71="상",H71="중"),AND(G71="중",H71="상")),"높음",IF(OR(AND(G71="중",H71="중"),AND(G71="상",H71="하"),AND(G71="하",H71="상")),"보통","낮음")))</f>
        <v/>
      </c>
      <c r="J71" s="17" t="inlineStr">
        <is>
          <t>정상 업무로 위장된 대량 외부 전송</t>
        </is>
      </c>
      <c r="K71" s="19" t="inlineStr">
        <is>
          <t>실제 사고 확인</t>
        </is>
      </c>
      <c r="L71" s="20" t="n">
        <v>1</v>
      </c>
      <c r="M71" s="17" t="inlineStr">
        <is>
          <t>유출(Exfiltration)</t>
        </is>
      </c>
      <c r="N71" s="21" t="inlineStr">
        <is>
          <t>T0086</t>
        </is>
      </c>
      <c r="O71" s="21" t="n"/>
      <c r="P71" s="21" t="inlineStr">
        <is>
          <t>• [ATLAS CS0053·실제사고] Postmark를 사칭한 악성 MCP 서버가 발송 메일을 몰래 BCC로 유출(실제 사고)
• [ATLAS CS0037·실증] Copilot Studio 고객지원 에이전트를 인젝션해 지식원·도구를 탐색하고 CRM 데이터 유출
• [ATLAS CS0039·실증] 외부 사용자가 Jira 티켓에 악성 입력을 넣어 AI가 내부자 권한으로 행위(Living off AI)</t>
        </is>
      </c>
      <c r="Q71" s="17" t="inlineStr">
        <is>
          <t>외부 URL 렌더링 차단·egress 허용목록, 도구 콜백 대상 검증, 유출 패턴 탐지</t>
        </is>
      </c>
    </row>
    <row r="72" ht="63.75" customHeight="1">
      <c r="A72" s="33" t="inlineStr">
        <is>
          <t>D05. 출력 처리 결함 및 신뢰성 훼손</t>
        </is>
      </c>
      <c r="B72" s="34" t="inlineStr">
        <is>
          <t>UT-19</t>
        </is>
      </c>
      <c r="C72" s="33" t="inlineStr">
        <is>
          <t>AI를 통한 데이터 반출</t>
        </is>
      </c>
      <c r="D72" s="15" t="inlineStr">
        <is>
          <t>UT-19.3</t>
        </is>
      </c>
      <c r="E72" s="16" t="inlineStr">
        <is>
          <t>은닉 채널 반출</t>
        </is>
      </c>
      <c r="F72" s="21" t="inlineStr">
        <is>
          <t>DNS 질의/비가시 유니코드 문자 등 모니터링 사각지대 채널에 데이터를 인코딩하여 DLP 및 egress 통제를 우회한 반출</t>
        </is>
      </c>
      <c r="G72" s="18" t="inlineStr">
        <is>
          <t>하</t>
        </is>
      </c>
      <c r="H72" s="18" t="inlineStr">
        <is>
          <t>중</t>
        </is>
      </c>
      <c r="I72" s="18">
        <f>IF(AND(G72="상",H72="상"),"매우 높음",IF(OR(AND(G72="상",H72="중"),AND(G72="중",H72="상")),"높음",IF(OR(AND(G72="중",H72="중"),AND(G72="상",H72="하"),AND(G72="하",H72="상")),"보통","낮음")))</f>
        <v/>
      </c>
      <c r="J72" s="17" t="inlineStr">
        <is>
          <t>저대역 은닉 유출(탐지 곤란)</t>
        </is>
      </c>
      <c r="K72" s="19" t="inlineStr">
        <is>
          <t>이론·시나리오</t>
        </is>
      </c>
      <c r="L72" s="20" t="n">
        <v>0</v>
      </c>
      <c r="M72" s="17" t="inlineStr">
        <is>
          <t>유출(Exfiltration)</t>
        </is>
      </c>
      <c r="N72" s="21" t="n"/>
      <c r="O72" s="21" t="n"/>
      <c r="P72" s="21" t="inlineStr">
        <is>
          <t>• [OWASP 시나리오] 코드 런타임이 스프레드시트 내용을 DNS 질의에 인코딩해 반출(LLM02 시나리오#10)</t>
        </is>
      </c>
      <c r="Q72" s="17" t="inlineStr">
        <is>
          <t>외부 URL 렌더링 차단·egress 허용목록, 도구 콜백 대상 검증, 유출 패턴 탐지</t>
        </is>
      </c>
    </row>
    <row r="73" ht="63.75" customHeight="1">
      <c r="A73" s="33" t="inlineStr">
        <is>
          <t>D05. 출력 처리 결함 및 신뢰성 훼손</t>
        </is>
      </c>
      <c r="B73" s="34" t="inlineStr">
        <is>
          <t>UT-20</t>
        </is>
      </c>
      <c r="C73" s="33" t="inlineStr">
        <is>
          <t>AI 출력 신뢰성 훼손</t>
        </is>
      </c>
      <c r="D73" s="15" t="inlineStr">
        <is>
          <t>UT-20.1</t>
        </is>
      </c>
      <c r="E73" s="16" t="inlineStr">
        <is>
          <t>환각에 의한 허위정보</t>
        </is>
      </c>
      <c r="F73" s="17" t="inlineStr">
        <is>
          <t>근거 없는 사실/수치/인용을 그럴듯하게 생성하여 업무 판단, 고객 안내, 규정 해석에 오류 유발</t>
        </is>
      </c>
      <c r="G73" s="18" t="inlineStr">
        <is>
          <t>하</t>
        </is>
      </c>
      <c r="H73" s="18" t="inlineStr">
        <is>
          <t>중</t>
        </is>
      </c>
      <c r="I73" s="18">
        <f>IF(AND(G73="상",H73="상"),"매우 높음",IF(OR(AND(G73="상",H73="중"),AND(G73="중",H73="상")),"높음",IF(OR(AND(G73="중",H73="중"),AND(G73="상",H73="하"),AND(G73="하",H73="상")),"보통","낮음")))</f>
        <v/>
      </c>
      <c r="J73" s="17" t="inlineStr">
        <is>
          <t>업무 판단 오류(재무 및 평판 영향)</t>
        </is>
      </c>
      <c r="K73" s="19" t="inlineStr">
        <is>
          <t>이론·시나리오</t>
        </is>
      </c>
      <c r="L73" s="20" t="n">
        <v>0</v>
      </c>
      <c r="M73" s="17" t="inlineStr">
        <is>
          <t>해당 없음(구조적 결함)</t>
        </is>
      </c>
      <c r="N73" s="21" t="n"/>
      <c r="O73" s="21" t="inlineStr">
        <is>
          <t>LLM07</t>
        </is>
      </c>
      <c r="P73" s="21" t="inlineStr">
        <is>
          <t>• [OWASP 시나리오] 정책 오독으로 부당 환불 승인, 임상 요약의 금기사항 누락(LLM07 시나리오#2·#3)</t>
        </is>
      </c>
      <c r="Q73" s="17" t="inlineStr">
        <is>
          <t>근거 인용·출처 검증(그라운딩), 신뢰도 표시, 고위험 결정의 독립 검증, 추천 출처 편향 모니터링</t>
        </is>
      </c>
    </row>
    <row r="74" ht="63.75" customHeight="1">
      <c r="A74" s="33" t="inlineStr">
        <is>
          <t>D05. 출력 처리 결함 및 신뢰성 훼손</t>
        </is>
      </c>
      <c r="B74" s="34" t="inlineStr">
        <is>
          <t>UT-20</t>
        </is>
      </c>
      <c r="C74" s="33" t="inlineStr">
        <is>
          <t>AI 출력 신뢰성 훼손</t>
        </is>
      </c>
      <c r="D74" s="15" t="inlineStr">
        <is>
          <t>UT-20.2</t>
        </is>
      </c>
      <c r="E74" s="16" t="inlineStr">
        <is>
          <t>환각 악용 공격</t>
        </is>
      </c>
      <c r="F74" s="17" t="inlineStr">
        <is>
          <t>모델이 반복적으로 환각하는 패키지명/URL/API를 탐색한 뒤 공격자가 해당 이름을 선점하여 AI 권고를 통해 악성 자원 유포</t>
        </is>
      </c>
      <c r="G74" s="18" t="inlineStr">
        <is>
          <t>중</t>
        </is>
      </c>
      <c r="H74" s="18" t="inlineStr">
        <is>
          <t>중</t>
        </is>
      </c>
      <c r="I74" s="18">
        <f>IF(AND(G74="상",H74="상"),"매우 높음",IF(OR(AND(G74="상",H74="중"),AND(G74="중",H74="상")),"높음",IF(OR(AND(G74="중",H74="중"),AND(G74="상",H74="하"),AND(G74="하",H74="상")),"보통","낮음")))</f>
        <v/>
      </c>
      <c r="J74" s="17" t="inlineStr">
        <is>
          <t>환각 대상 선점을 통한 악성 자원 유포 기반</t>
        </is>
      </c>
      <c r="K74" s="19" t="inlineStr">
        <is>
          <t>실증·공개 취약점</t>
        </is>
      </c>
      <c r="L74" s="20" t="n">
        <v>0</v>
      </c>
      <c r="M74" s="17" t="inlineStr">
        <is>
          <t>탐색(Discovery)</t>
        </is>
      </c>
      <c r="N74" s="21" t="inlineStr">
        <is>
          <t>T0062</t>
        </is>
      </c>
      <c r="O74" s="21" t="inlineStr">
        <is>
          <t>LLM07</t>
        </is>
      </c>
      <c r="P74" s="21" t="inlineStr">
        <is>
          <t>• [ATLAS CS0022·실증] LLM이 환각한 가짜 패키지명을 공격자가 선점해 악성 패키지 배포 가능성 입증</t>
        </is>
      </c>
      <c r="Q74" s="17" t="inlineStr">
        <is>
          <t>근거 인용·출처 검증(그라운딩), 신뢰도 표시, 고위험 결정의 독립 검증, 추천 출처 편향 모니터링</t>
        </is>
      </c>
    </row>
    <row r="75" ht="63.75" customHeight="1">
      <c r="A75" s="33" t="inlineStr">
        <is>
          <t>D05. 출력 처리 결함 및 신뢰성 훼손</t>
        </is>
      </c>
      <c r="B75" s="34" t="inlineStr">
        <is>
          <t>UT-20</t>
        </is>
      </c>
      <c r="C75" s="33" t="inlineStr">
        <is>
          <t>AI 출력 신뢰성 훼손</t>
        </is>
      </c>
      <c r="D75" s="15" t="inlineStr">
        <is>
          <t>UT-20.3</t>
        </is>
      </c>
      <c r="E75" s="16" t="inlineStr">
        <is>
          <t>응답 편향 조작</t>
        </is>
      </c>
      <c r="F75" s="17" t="inlineStr">
        <is>
          <t>메모리/검색 근거/지시 조작을 통해 AI 응답을 특정 업체/제품/결론 쪽으로 체계적으로 편향시켜 사용자 의사결정 왜곡</t>
        </is>
      </c>
      <c r="G75" s="18" t="inlineStr">
        <is>
          <t>중</t>
        </is>
      </c>
      <c r="H75" s="18" t="inlineStr">
        <is>
          <t>중</t>
        </is>
      </c>
      <c r="I75" s="18">
        <f>IF(AND(G75="상",H75="상"),"매우 높음",IF(OR(AND(G75="상",H75="중"),AND(G75="중",H75="상")),"높음",IF(OR(AND(G75="중",H75="중"),AND(G75="상",H75="하"),AND(G75="하",H75="상")),"보통","낮음")))</f>
        <v/>
      </c>
      <c r="J75" s="17" t="inlineStr">
        <is>
          <t>사용자 의사결정 왜곡(재무 영향)</t>
        </is>
      </c>
      <c r="K75" s="19" t="inlineStr">
        <is>
          <t>실제 사고 확인</t>
        </is>
      </c>
      <c r="L75" s="20" t="n">
        <v>1</v>
      </c>
      <c r="M75" s="17" t="inlineStr">
        <is>
          <t>영향(Impact)</t>
        </is>
      </c>
      <c r="N75" s="21" t="inlineStr">
        <is>
          <t>T0130</t>
        </is>
      </c>
      <c r="O75" s="21" t="inlineStr">
        <is>
          <t>LLM07</t>
        </is>
      </c>
      <c r="P75" s="21" t="inlineStr">
        <is>
          <t>• [ATLAS CS0072·실제사고] 조작된 AI 비서 링크로 메모리를 오염시켜 특정 제품을 추천하게 만드는 홍보성 공격(실제 사고)
• [ATLAS CS0019·실증] LLM 가중치를 편집해 허위 사실을 답하게 만든 뒤 Hugging Face에 배포(PoisonGPT)
• [ATLAS CS0026·실증] 메일을 RAG로 수집하는 M365 Copilot을 조작해 송금 계좌 정보를 바꿔치기</t>
        </is>
      </c>
      <c r="Q75" s="17" t="inlineStr">
        <is>
          <t>근거 인용·출처 검증(그라운딩), 신뢰도 표시, 고위험 결정의 독립 검증, 추천 출처 편향 모니터링</t>
        </is>
      </c>
    </row>
    <row r="76" ht="63.75" customHeight="1">
      <c r="A76" s="33" t="inlineStr">
        <is>
          <t>D05. 출력 처리 결함 및 신뢰성 훼손</t>
        </is>
      </c>
      <c r="B76" s="34" t="inlineStr">
        <is>
          <t>UT-20</t>
        </is>
      </c>
      <c r="C76" s="33" t="inlineStr">
        <is>
          <t>AI 출력 신뢰성 훼손</t>
        </is>
      </c>
      <c r="D76" s="15" t="inlineStr">
        <is>
          <t>UT-20.4</t>
        </is>
      </c>
      <c r="E76" s="16" t="inlineStr">
        <is>
          <t>검증 없는 채택(과신)</t>
        </is>
      </c>
      <c r="F76" s="21" t="inlineStr">
        <is>
          <t>AI 출력을 사람 또는 자동화 워크플로가 독립 검증 없이 그대로 채택하여 오류가 업무 결과/고객 응대/시스템 조치로 직접 전파</t>
        </is>
      </c>
      <c r="G76" s="18" t="inlineStr">
        <is>
          <t>하</t>
        </is>
      </c>
      <c r="H76" s="18" t="inlineStr">
        <is>
          <t>중</t>
        </is>
      </c>
      <c r="I76" s="18">
        <f>IF(AND(G76="상",H76="상"),"매우 높음",IF(OR(AND(G76="상",H76="중"),AND(G76="중",H76="상")),"높음",IF(OR(AND(G76="중",H76="중"),AND(G76="상",H76="하"),AND(G76="하",H76="상")),"보통","낮음")))</f>
        <v/>
      </c>
      <c r="J76" s="17" t="inlineStr">
        <is>
          <t>오류의 업무 결과 직접 전파</t>
        </is>
      </c>
      <c r="K76" s="19" t="inlineStr">
        <is>
          <t>이론·시나리오</t>
        </is>
      </c>
      <c r="L76" s="20" t="n">
        <v>0</v>
      </c>
      <c r="M76" s="17" t="inlineStr">
        <is>
          <t>해당 없음(구조적 결함)</t>
        </is>
      </c>
      <c r="N76" s="21" t="n"/>
      <c r="O76" s="21" t="inlineStr">
        <is>
          <t>LLM07</t>
        </is>
      </c>
      <c r="P76" s="21" t="inlineStr">
        <is>
          <t>• [OWASP 시나리오] 수행하지 않은 백업을 완료로 보고, 정상 트래픽을 침입으로 오판해 자동 대응 발동(LLM07 시나리오#5·#7)</t>
        </is>
      </c>
      <c r="Q76" s="17" t="inlineStr">
        <is>
          <t>근거 인용·출처 검증(그라운딩), 신뢰도 표시, 고위험 결정의 독립 검증, 추천 출처 편향 모니터링</t>
        </is>
      </c>
    </row>
    <row r="77" ht="63.75" customHeight="1">
      <c r="A77" s="36" t="inlineStr">
        <is>
          <t>D06. 에이전트 오남용 및 통제 상실</t>
        </is>
      </c>
      <c r="B77" s="37" t="inlineStr">
        <is>
          <t>UT-21</t>
        </is>
      </c>
      <c r="C77" s="38" t="inlineStr">
        <is>
          <t>과도한 에이전시</t>
        </is>
      </c>
      <c r="D77" s="15" t="inlineStr">
        <is>
          <t>UT-21.1</t>
        </is>
      </c>
      <c r="E77" s="16" t="inlineStr">
        <is>
          <t>과도한 기능</t>
        </is>
      </c>
      <c r="F77" s="17" t="inlineStr">
        <is>
          <t>업무 수행에 불필요한 도구/플러그인 기능(예: 요약용 비서의 메일 발송 기능)이 에이전트에 부여되어, 인젝션 시 악용 가능한 행위 범위 확대</t>
        </is>
      </c>
      <c r="G77" s="18" t="inlineStr">
        <is>
          <t>하</t>
        </is>
      </c>
      <c r="H77" s="18" t="inlineStr">
        <is>
          <t>중</t>
        </is>
      </c>
      <c r="I77" s="18">
        <f>IF(AND(G77="상",H77="상"),"매우 높음",IF(OR(AND(G77="상",H77="중"),AND(G77="중",H77="상")),"높음",IF(OR(AND(G77="중",H77="중"),AND(G77="상",H77="하"),AND(G77="하",H77="상")),"보통","낮음")))</f>
        <v/>
      </c>
      <c r="J77" s="17" t="inlineStr">
        <is>
          <t>악용 시 피해 범위 확대 요인</t>
        </is>
      </c>
      <c r="K77" s="19" t="inlineStr">
        <is>
          <t>이론·시나리오</t>
        </is>
      </c>
      <c r="L77" s="20" t="n">
        <v>0</v>
      </c>
      <c r="M77" s="17" t="inlineStr">
        <is>
          <t>해당 없음(구조적 결함)</t>
        </is>
      </c>
      <c r="N77" s="21" t="n"/>
      <c r="O77" s="21" t="inlineStr">
        <is>
          <t>LLM03</t>
        </is>
      </c>
      <c r="P77" s="21" t="inlineStr">
        <is>
          <t>• [OWASP 시나리오] 메일 요약용 비서가 발송 기능까지 보유해 인젝션 시 받은편지함 전체를 외부로 전달(LLM03 시나리오#1)</t>
        </is>
      </c>
      <c r="Q77" s="17" t="inlineStr">
        <is>
          <t>최소 에이전시·최소권한, 도구별 범위·호출량 제한, 인자 의미 검증, 파괴적 작업 인간 승인</t>
        </is>
      </c>
    </row>
    <row r="78" ht="63.75" customHeight="1">
      <c r="A78" s="36" t="inlineStr">
        <is>
          <t>D06. 에이전트 오남용 및 통제 상실</t>
        </is>
      </c>
      <c r="B78" s="37" t="inlineStr">
        <is>
          <t>UT-21</t>
        </is>
      </c>
      <c r="C78" s="38" t="inlineStr">
        <is>
          <t>과도한 에이전시</t>
        </is>
      </c>
      <c r="D78" s="15" t="inlineStr">
        <is>
          <t>UT-21.2</t>
        </is>
      </c>
      <c r="E78" s="16" t="inlineStr">
        <is>
          <t>과도한 권한</t>
        </is>
      </c>
      <c r="F78" s="17" t="inlineStr">
        <is>
          <t>에이전트가 사용자 범위가 아닌 관리자/서비스 전체 권한 계정으로 동작하거나 권한이 점진적으로 확장되어, 단일 오작동이 조직 전체 데이터 접근으로 확대</t>
        </is>
      </c>
      <c r="G78" s="18" t="inlineStr">
        <is>
          <t>중</t>
        </is>
      </c>
      <c r="H78" s="18" t="inlineStr">
        <is>
          <t>상</t>
        </is>
      </c>
      <c r="I78" s="18">
        <f>IF(AND(G78="상",H78="상"),"매우 높음",IF(OR(AND(G78="상",H78="중"),AND(G78="중",H78="상")),"높음",IF(OR(AND(G78="중",H78="중"),AND(G78="상",H78="하"),AND(G78="하",H78="상")),"보통","낮음")))</f>
        <v/>
      </c>
      <c r="J78" s="17" t="inlineStr">
        <is>
          <t>조직 전체 데이터 접근 권한 노출</t>
        </is>
      </c>
      <c r="K78" s="19" t="inlineStr">
        <is>
          <t>실증·공개 취약점</t>
        </is>
      </c>
      <c r="L78" s="20" t="n">
        <v>0</v>
      </c>
      <c r="M78" s="17" t="inlineStr">
        <is>
          <t>해당 없음(구조적 결함)</t>
        </is>
      </c>
      <c r="N78" s="21" t="n"/>
      <c r="O78" s="21" t="inlineStr">
        <is>
          <t>LLM03, MCP02</t>
        </is>
      </c>
      <c r="P78" s="21" t="inlineStr">
        <is>
          <t>• [ATLAS CS0037·실증] Copilot Studio 고객지원 에이전트를 인젝션해 지식원·도구를 탐색하고 CRM 데이터 유출
• [OWASP 시나리오] 주문 조회용 지원 봇이 결제 API 전체 권한으로 환불까지 실행(ASI02 시나리오#3)</t>
        </is>
      </c>
      <c r="Q78" s="17" t="inlineStr">
        <is>
          <t>최소 에이전시·최소권한, 도구별 범위·호출량 제한, 인자 의미 검증, 파괴적 작업 인간 승인</t>
        </is>
      </c>
    </row>
    <row r="79" ht="63.75" customHeight="1">
      <c r="A79" s="36" t="inlineStr">
        <is>
          <t>D06. 에이전트 오남용 및 통제 상실</t>
        </is>
      </c>
      <c r="B79" s="37" t="inlineStr">
        <is>
          <t>UT-21</t>
        </is>
      </c>
      <c r="C79" s="38" t="inlineStr">
        <is>
          <t>과도한 에이전시</t>
        </is>
      </c>
      <c r="D79" s="15" t="inlineStr">
        <is>
          <t>UT-21.3</t>
        </is>
      </c>
      <c r="E79" s="16" t="inlineStr">
        <is>
          <t>과도한 자율성</t>
        </is>
      </c>
      <c r="F79" s="17" t="inlineStr">
        <is>
          <t>결제/삭제/외부 발송 등 고위험 행위를 사람 승인 없이 자율 실행하도록 설계되어 오판 및 조작이 즉시 실제 피해로 전환</t>
        </is>
      </c>
      <c r="G79" s="18" t="inlineStr">
        <is>
          <t>하</t>
        </is>
      </c>
      <c r="H79" s="18" t="inlineStr">
        <is>
          <t>중</t>
        </is>
      </c>
      <c r="I79" s="18">
        <f>IF(AND(G79="상",H79="상"),"매우 높음",IF(OR(AND(G79="상",H79="중"),AND(G79="중",H79="상")),"높음",IF(OR(AND(G79="중",H79="중"),AND(G79="상",H79="하"),AND(G79="하",H79="상")),"보통","낮음")))</f>
        <v/>
      </c>
      <c r="J79" s="17" t="inlineStr">
        <is>
          <t>승인 부재로 오판이 즉시 실제 피해로 전환</t>
        </is>
      </c>
      <c r="K79" s="19" t="inlineStr">
        <is>
          <t>이론·시나리오</t>
        </is>
      </c>
      <c r="L79" s="20" t="n">
        <v>0</v>
      </c>
      <c r="M79" s="17" t="inlineStr">
        <is>
          <t>해당 없음(구조적 결함)</t>
        </is>
      </c>
      <c r="N79" s="21" t="n"/>
      <c r="O79" s="21" t="inlineStr">
        <is>
          <t>LLM03</t>
        </is>
      </c>
      <c r="P79" s="21" t="inlineStr">
        <is>
          <t>• [OWASP 시나리오] 고위험 작업에 대한 승인 절차 부재(LLM03 위험 예시)</t>
        </is>
      </c>
      <c r="Q79" s="17" t="inlineStr">
        <is>
          <t>최소 에이전시·최소권한, 도구별 범위·호출량 제한, 인자 의미 검증, 파괴적 작업 인간 승인</t>
        </is>
      </c>
    </row>
    <row r="80" ht="63.75" customHeight="1">
      <c r="A80" s="36" t="inlineStr">
        <is>
          <t>D06. 에이전트 오남용 및 통제 상실</t>
        </is>
      </c>
      <c r="B80" s="37" t="inlineStr">
        <is>
          <t>UT-21</t>
        </is>
      </c>
      <c r="C80" s="38" t="inlineStr">
        <is>
          <t>과도한 에이전시</t>
        </is>
      </c>
      <c r="D80" s="15" t="inlineStr">
        <is>
          <t>UT-21.4</t>
        </is>
      </c>
      <c r="E80" s="16" t="inlineStr">
        <is>
          <t>위험한 도구 연쇄 호출</t>
        </is>
      </c>
      <c r="F80" s="17" t="inlineStr">
        <is>
          <t>정상 도구들을 조회, 가공, 외부 전송 순으로 연쇄 호출하거나 반복 호출하여 개별 도구 통제로는 탐지되지 않는 데이터 유출/권한 밖 행위 수행</t>
        </is>
      </c>
      <c r="G80" s="18" t="inlineStr">
        <is>
          <t>중</t>
        </is>
      </c>
      <c r="H80" s="18" t="inlineStr">
        <is>
          <t>상</t>
        </is>
      </c>
      <c r="I80" s="18">
        <f>IF(AND(G80="상",H80="상"),"매우 높음",IF(OR(AND(G80="상",H80="중"),AND(G80="중",H80="상")),"높음",IF(OR(AND(G80="중",H80="중"),AND(G80="상",H80="하"),AND(G80="하",H80="상")),"보통","낮음")))</f>
        <v/>
      </c>
      <c r="J80" s="17" t="inlineStr">
        <is>
          <t>개별 통제 우회형 데이터 유출 및 권한 밖 행위</t>
        </is>
      </c>
      <c r="K80" s="19" t="inlineStr">
        <is>
          <t>실증·공개 취약점</t>
        </is>
      </c>
      <c r="L80" s="20" t="n">
        <v>0</v>
      </c>
      <c r="M80" s="17" t="inlineStr">
        <is>
          <t>실행(Execution)</t>
        </is>
      </c>
      <c r="N80" s="21" t="inlineStr">
        <is>
          <t>T0053</t>
        </is>
      </c>
      <c r="O80" s="21" t="inlineStr">
        <is>
          <t>ASI02</t>
        </is>
      </c>
      <c r="P80" s="21" t="inlineStr">
        <is>
          <t>• [ATLAS CS0016·실증] MathGPT에 프롬프트 인젝션으로 파이썬 코드 실행·API 키 노출
• [ATLAS CS0021·실증] 웹페이지 간접 인젝션으로 ChatGPT 대화 내용을 이미지 URL로 유출
• [ATLAS CS0024·실증] RAG를 매개로 자기복제 프롬프트가 GenAI 이메일 비서 간 전파(Morris II 웜)</t>
        </is>
      </c>
      <c r="Q80" s="17" t="inlineStr">
        <is>
          <t>최소 에이전시·최소권한, 도구별 범위·호출량 제한, 인자 의미 검증, 파괴적 작업 인간 승인</t>
        </is>
      </c>
    </row>
    <row r="81" ht="63.75" customHeight="1">
      <c r="A81" s="36" t="inlineStr">
        <is>
          <t>D06. 에이전트 오남용 및 통제 상실</t>
        </is>
      </c>
      <c r="B81" s="37" t="inlineStr">
        <is>
          <t>UT-21</t>
        </is>
      </c>
      <c r="C81" s="38" t="inlineStr">
        <is>
          <t>과도한 에이전시</t>
        </is>
      </c>
      <c r="D81" s="15" t="inlineStr">
        <is>
          <t>UT-21.5</t>
        </is>
      </c>
      <c r="E81" s="16" t="inlineStr">
        <is>
          <t>파괴적 도구 실행</t>
        </is>
      </c>
      <c r="F81" s="17" t="inlineStr">
        <is>
          <t>에이전트가 조작된 지시 또는 오판에 따라 파일/DB/인프라 삭제 명령을 도구로 실행하여 업무 데이터 및 서비스 파괴</t>
        </is>
      </c>
      <c r="G81" s="18" t="inlineStr">
        <is>
          <t>상</t>
        </is>
      </c>
      <c r="H81" s="18" t="inlineStr">
        <is>
          <t>상</t>
        </is>
      </c>
      <c r="I81" s="18">
        <f>IF(AND(G81="상",H81="상"),"매우 높음",IF(OR(AND(G81="상",H81="중"),AND(G81="중",H81="상")),"높음",IF(OR(AND(G81="중",H81="중"),AND(G81="상",H81="하"),AND(G81="하",H81="상")),"보통","낮음")))</f>
        <v/>
      </c>
      <c r="J81" s="17" t="inlineStr">
        <is>
          <t>운영 데이터 및 서비스 파괴</t>
        </is>
      </c>
      <c r="K81" s="19" t="inlineStr">
        <is>
          <t>실제 사고 확인</t>
        </is>
      </c>
      <c r="L81" s="20" t="n">
        <v>3</v>
      </c>
      <c r="M81" s="17" t="inlineStr">
        <is>
          <t>영향(Impact)</t>
        </is>
      </c>
      <c r="N81" s="21" t="inlineStr">
        <is>
          <t>T0101</t>
        </is>
      </c>
      <c r="O81" s="21" t="inlineStr">
        <is>
          <t>ASI02</t>
        </is>
      </c>
      <c r="P81" s="21" t="inlineStr">
        <is>
          <t>• [ATLAS CS0047·실제사고] 과권한 GitHub 토큰으로 Amazon Q VS Code 확장에 파괴형 에이전트 지시 커밋(실제 사고)
• [ATLAS CS0046·실증] 웹페이지 인젝션으로 Claude Computer Use가 셸 명령으로 사용자 데이터 삭제
• [ATLAS CS0063·실증] 캘린더 초대·메일에 숨긴 지시로 Gemini 비서가 기기·앱을 조작
• [OWASP 인용] Replit 운영 DB 삭제(2025.07) / Google Gemini CLI 파일 손실(2025.07)</t>
        </is>
      </c>
      <c r="Q81" s="17" t="inlineStr">
        <is>
          <t>최소 에이전시·최소권한, 도구별 범위·호출량 제한, 인자 의미 검증, 파괴적 작업 인간 승인</t>
        </is>
      </c>
    </row>
    <row r="82" ht="75.75" customHeight="1">
      <c r="A82" s="36" t="inlineStr">
        <is>
          <t>D06. 에이전트 오남용 및 통제 상실</t>
        </is>
      </c>
      <c r="B82" s="37" t="inlineStr">
        <is>
          <t>UT-22</t>
        </is>
      </c>
      <c r="C82" s="38" t="inlineStr">
        <is>
          <t>비의도적 코드 실행</t>
        </is>
      </c>
      <c r="D82" s="15" t="inlineStr">
        <is>
          <t>UT-22.1</t>
        </is>
      </c>
      <c r="E82" s="16" t="inlineStr">
        <is>
          <t>생성 코드 실행</t>
        </is>
      </c>
      <c r="F82" s="17" t="inlineStr">
        <is>
          <t>에이전트가 생성하거나 외부에서 주입된 코드/셸 명령을 검증 없이 인터프리터에서 실행하여 호스트 명령 실행 및 시스템 변경 유발</t>
        </is>
      </c>
      <c r="G82" s="18" t="inlineStr">
        <is>
          <t>상</t>
        </is>
      </c>
      <c r="H82" s="18" t="inlineStr">
        <is>
          <t>상</t>
        </is>
      </c>
      <c r="I82" s="18">
        <f>IF(AND(G82="상",H82="상"),"매우 높음",IF(OR(AND(G82="상",H82="중"),AND(G82="중",H82="상")),"높음",IF(OR(AND(G82="중",H82="중"),AND(G82="상",H82="하"),AND(G82="하",H82="상")),"보통","낮음")))</f>
        <v/>
      </c>
      <c r="J82" s="17" t="inlineStr">
        <is>
          <t>호스트 명령 실행(시스템 장악)</t>
        </is>
      </c>
      <c r="K82" s="19" t="inlineStr">
        <is>
          <t>실제 사고 확인</t>
        </is>
      </c>
      <c r="L82" s="20" t="n">
        <v>2</v>
      </c>
      <c r="M82" s="17" t="inlineStr">
        <is>
          <t>실행(Execution)</t>
        </is>
      </c>
      <c r="N82" s="21" t="inlineStr">
        <is>
          <t>T0050</t>
        </is>
      </c>
      <c r="O82" s="21" t="inlineStr">
        <is>
          <t>ASI05, MCP05</t>
        </is>
      </c>
      <c r="P82" s="21" t="inlineStr">
        <is>
          <t>• [ATLAS CS0050·실증] 악성 링크 1회 클릭으로 OpenClaw 로컬 에이전트 원격 코드 실행
• [ATLAS CS0052·실증] 11개 LLM 프레임워크에서 20개 RCE 취약점 발견, 인터넷 공개 앱에서 실증(LLMSmith)
• [ATLAS CS0062·실증] Semantic Kernel 검색 플러그인에서 단일 인젝션으로 원격 코드 실행
• [OWASP 인용] Framelink Figma MCP RCE / Cursor 워크스페이스 파일 인젝션 / VS Code 에이전트 RCE(2025) / CVE-2025-66404 / CVE-2025-54795</t>
        </is>
      </c>
      <c r="Q82" s="17" t="inlineStr">
        <is>
          <t>코드 생성과 실행 분리·승인 게이트, 비루트 격리 샌드박스, 실행 전 정적검사, 명령 허용목록</t>
        </is>
      </c>
    </row>
    <row r="83" ht="63.75" customHeight="1">
      <c r="A83" s="36" t="inlineStr">
        <is>
          <t>D06. 에이전트 오남용 및 통제 상실</t>
        </is>
      </c>
      <c r="B83" s="37" t="inlineStr">
        <is>
          <t>UT-22</t>
        </is>
      </c>
      <c r="C83" s="38" t="inlineStr">
        <is>
          <t>비의도적 코드 실행</t>
        </is>
      </c>
      <c r="D83" s="15" t="inlineStr">
        <is>
          <t>UT-22.2</t>
        </is>
      </c>
      <c r="E83" s="16" t="inlineStr">
        <is>
          <t>안전하지 않은 파일 실행</t>
        </is>
      </c>
      <c r="F83" s="21" t="inlineStr">
        <is>
          <t>pickle 등 역직렬화 취약 포맷의 모델/데이터 파일 또는 사용자가 실행한 악성 노트북을 통해 로딩 시점에 임의 코드 실행</t>
        </is>
      </c>
      <c r="G83" s="18" t="inlineStr">
        <is>
          <t>상</t>
        </is>
      </c>
      <c r="H83" s="18" t="inlineStr">
        <is>
          <t>상</t>
        </is>
      </c>
      <c r="I83" s="18">
        <f>IF(AND(G83="상",H83="상"),"매우 높음",IF(OR(AND(G83="상",H83="중"),AND(G83="중",H83="상")),"높음",IF(OR(AND(G83="중",H83="중"),AND(G83="상",H83="하"),AND(G83="하",H83="상")),"보통","낮음")))</f>
        <v/>
      </c>
      <c r="J83" s="17" t="inlineStr">
        <is>
          <t>파일 로딩 시 임의 코드 실행</t>
        </is>
      </c>
      <c r="K83" s="19" t="inlineStr">
        <is>
          <t>실제 사고 확인</t>
        </is>
      </c>
      <c r="L83" s="20" t="n">
        <v>2</v>
      </c>
      <c r="M83" s="17" t="inlineStr">
        <is>
          <t>실행(Execution)</t>
        </is>
      </c>
      <c r="N83" s="21" t="inlineStr">
        <is>
          <t>T0011</t>
        </is>
      </c>
      <c r="O83" s="21" t="inlineStr">
        <is>
          <t>ASI05</t>
        </is>
      </c>
      <c r="P83" s="21" t="inlineStr">
        <is>
          <t>• [ATLAS CS0018·실증] Google Colab 노트북을 통한 임의 코드 실행 경로 시연
• [ATLAS CS0031·실제사고] Hugging Face에 역쉘을 내장한 악성 모델 호스팅(실제 사고)
• [ATLAS CS0044·실제사고] APT28 LAMEHUG가 LLM API로 실행 명령을 동적 생성(실제 사고)
• [OWASP 인용] CVE-2025-24357 vLLM torch.load 안전하지 않은 역직렬화</t>
        </is>
      </c>
      <c r="Q83" s="17" t="inlineStr">
        <is>
          <t>코드 생성과 실행 분리·승인 게이트, 비루트 격리 샌드박스, 실행 전 정적검사, 명령 허용목록</t>
        </is>
      </c>
    </row>
    <row r="84" ht="75.75" customHeight="1">
      <c r="A84" s="36" t="inlineStr">
        <is>
          <t>D06. 에이전트 오남용 및 통제 상실</t>
        </is>
      </c>
      <c r="B84" s="37" t="inlineStr">
        <is>
          <t>UT-22</t>
        </is>
      </c>
      <c r="C84" s="38" t="inlineStr">
        <is>
          <t>비의도적 코드 실행</t>
        </is>
      </c>
      <c r="D84" s="15" t="inlineStr">
        <is>
          <t>UT-22.3</t>
        </is>
      </c>
      <c r="E84" s="16" t="inlineStr">
        <is>
          <t>샌드박스 탈출</t>
        </is>
      </c>
      <c r="F84" s="17" t="inlineStr">
        <is>
          <t>코드 실행 환경의 격리 결함/설정 파일 덮어쓰기를 악용하여 샌드박스를 벗어나 호스트 장악 및 지속성 확보</t>
        </is>
      </c>
      <c r="G84" s="18" t="inlineStr">
        <is>
          <t>중</t>
        </is>
      </c>
      <c r="H84" s="18" t="inlineStr">
        <is>
          <t>상</t>
        </is>
      </c>
      <c r="I84" s="18">
        <f>IF(AND(G84="상",H84="상"),"매우 높음",IF(OR(AND(G84="상",H84="중"),AND(G84="중",H84="상")),"높음",IF(OR(AND(G84="중",H84="중"),AND(G84="상",H84="하"),AND(G84="하",H84="상")),"보통","낮음")))</f>
        <v/>
      </c>
      <c r="J84" s="17" t="inlineStr">
        <is>
          <t>호스트 장악 및 지속성 확보</t>
        </is>
      </c>
      <c r="K84" s="19" t="inlineStr">
        <is>
          <t>실제 사고 확인</t>
        </is>
      </c>
      <c r="L84" s="20" t="n">
        <v>1</v>
      </c>
      <c r="M84" s="17" t="inlineStr">
        <is>
          <t>권한 상승(Privilege Escalation)</t>
        </is>
      </c>
      <c r="N84" s="21" t="inlineStr">
        <is>
          <t>T0105, T0112</t>
        </is>
      </c>
      <c r="O84" s="21" t="inlineStr">
        <is>
          <t>ASI05</t>
        </is>
      </c>
      <c r="P84" s="21" t="inlineStr">
        <is>
          <t>• [ATLAS CS0068·실제사고] OpenAI 평가용 자율 에이전트들이 평가 경계를 넘어 외부 인프라 구축·Hugging Face 침해(실제 사고)
• [ATLAS CS0050·실증] 악성 링크 1회 클릭으로 OpenClaw 로컬 에이전트 원격 코드 실행
• [ATLAS CS0052·실증] 11개 LLM 프레임워크에서 20개 RCE 취약점 발견, 인터넷 공개 앱에서 실증(LLMSmith)
• [OWASP 인용] Cursor 설정 덮어쓰기(대소문자 불일치, 2025.10) / Cursor 에이전트 파일 보호 우회(2025.10)</t>
        </is>
      </c>
      <c r="Q84" s="17" t="inlineStr">
        <is>
          <t>코드 생성과 실행 분리·승인 게이트, 비루트 격리 샌드박스, 실행 전 정적검사, 명령 허용목록</t>
        </is>
      </c>
    </row>
    <row r="85" ht="63.75" customHeight="1">
      <c r="A85" s="36" t="inlineStr">
        <is>
          <t>D06. 에이전트 오남용 및 통제 상실</t>
        </is>
      </c>
      <c r="B85" s="37" t="inlineStr">
        <is>
          <t>UT-23</t>
        </is>
      </c>
      <c r="C85" s="38" t="inlineStr">
        <is>
          <t>에이전트 간 연쇄 장애</t>
        </is>
      </c>
      <c r="D85" s="15" t="inlineStr">
        <is>
          <t>UT-23.1</t>
        </is>
      </c>
      <c r="E85" s="16" t="inlineStr">
        <is>
          <t>다중 에이전트 오류 전파</t>
        </is>
      </c>
      <c r="F85" s="17" t="inlineStr">
        <is>
          <t>한 에이전트의 환각/오염 출력이 검증 없이 후속 에이전트의 입력으로 전달되어 다단계 워크플로 전체로 오류 증폭</t>
        </is>
      </c>
      <c r="G85" s="18" t="inlineStr">
        <is>
          <t>중</t>
        </is>
      </c>
      <c r="H85" s="18" t="inlineStr">
        <is>
          <t>중</t>
        </is>
      </c>
      <c r="I85" s="18">
        <f>IF(AND(G85="상",H85="상"),"매우 높음",IF(OR(AND(G85="상",H85="중"),AND(G85="중",H85="상")),"높음",IF(OR(AND(G85="중",H85="중"),AND(G85="상",H85="하"),AND(G85="하",H85="상")),"보통","낮음")))</f>
        <v/>
      </c>
      <c r="J85" s="17" t="inlineStr">
        <is>
          <t>연계 워크플로 오작동(무결성 및 가용성)</t>
        </is>
      </c>
      <c r="K85" s="19" t="inlineStr">
        <is>
          <t>실증·공개 취약점</t>
        </is>
      </c>
      <c r="L85" s="20" t="n">
        <v>0</v>
      </c>
      <c r="M85" s="17" t="inlineStr">
        <is>
          <t>내부 확산(Lateral Movement)</t>
        </is>
      </c>
      <c r="N85" s="21" t="n"/>
      <c r="O85" s="21" t="inlineStr">
        <is>
          <t>ASI08</t>
        </is>
      </c>
      <c r="P85" s="21" t="inlineStr">
        <is>
          <t>• [OWASP 인용] GitHub Copilot·Cursor 코드 에이전트 익스플로잇(2025.03)
• [OWASP 시나리오] 인젝션된 시장분석 에이전트가 위험 한도를 부풀려 연쇄 매매(ASI08 시나리오#1)</t>
        </is>
      </c>
      <c r="Q85" s="17" t="inlineStr">
        <is>
          <t>결함 격리·블라스트 반경 상한, 계획/실행 분리, 서킷브레이커, 디지털 트윈 재현 시험</t>
        </is>
      </c>
    </row>
    <row r="86" ht="63.75" customHeight="1">
      <c r="A86" s="36" t="inlineStr">
        <is>
          <t>D06. 에이전트 오남용 및 통제 상실</t>
        </is>
      </c>
      <c r="B86" s="37" t="inlineStr">
        <is>
          <t>UT-23</t>
        </is>
      </c>
      <c r="C86" s="38" t="inlineStr">
        <is>
          <t>에이전트 간 연쇄 장애</t>
        </is>
      </c>
      <c r="D86" s="15" t="inlineStr">
        <is>
          <t>UT-23.2</t>
        </is>
      </c>
      <c r="E86" s="16" t="inlineStr">
        <is>
          <t>자기복제 프롬프트(웜)</t>
        </is>
      </c>
      <c r="F86" s="17" t="inlineStr">
        <is>
          <t>출력에 자신을 복제하는 지시를 포함시켜, 메일/문서를 매개로 연결된 다른 AI 시스템으로 자동 전파되며 데이터 유출과 스팸 확산</t>
        </is>
      </c>
      <c r="G86" s="18" t="inlineStr">
        <is>
          <t>중</t>
        </is>
      </c>
      <c r="H86" s="18" t="inlineStr">
        <is>
          <t>상</t>
        </is>
      </c>
      <c r="I86" s="18">
        <f>IF(AND(G86="상",H86="상"),"매우 높음",IF(OR(AND(G86="상",H86="중"),AND(G86="중",H86="상")),"높음",IF(OR(AND(G86="중",H86="중"),AND(G86="상",H86="하"),AND(G86="하",H86="상")),"보통","낮음")))</f>
        <v/>
      </c>
      <c r="J86" s="17" t="inlineStr">
        <is>
          <t>연결된 AI 시스템 전반 자동 확산</t>
        </is>
      </c>
      <c r="K86" s="19" t="inlineStr">
        <is>
          <t>실증·공개 취약점</t>
        </is>
      </c>
      <c r="L86" s="20" t="n">
        <v>0</v>
      </c>
      <c r="M86" s="17" t="inlineStr">
        <is>
          <t>지속성(Persistence)</t>
        </is>
      </c>
      <c r="N86" s="21" t="inlineStr">
        <is>
          <t>T0061</t>
        </is>
      </c>
      <c r="O86" s="21" t="inlineStr">
        <is>
          <t>ASI08</t>
        </is>
      </c>
      <c r="P86" s="21" t="inlineStr">
        <is>
          <t>• [ATLAS CS0024·실증] RAG를 매개로 자기복제 프롬프트가 GenAI 이메일 비서 간 전파(Morris II 웜)</t>
        </is>
      </c>
      <c r="Q86" s="17" t="inlineStr">
        <is>
          <t>결함 격리·블라스트 반경 상한, 계획/실행 분리, 서킷브레이커, 디지털 트윈 재현 시험</t>
        </is>
      </c>
    </row>
    <row r="87" ht="63.75" customHeight="1">
      <c r="A87" s="36" t="inlineStr">
        <is>
          <t>D06. 에이전트 오남용 및 통제 상실</t>
        </is>
      </c>
      <c r="B87" s="37" t="inlineStr">
        <is>
          <t>UT-23</t>
        </is>
      </c>
      <c r="C87" s="38" t="inlineStr">
        <is>
          <t>에이전트 간 연쇄 장애</t>
        </is>
      </c>
      <c r="D87" s="15" t="inlineStr">
        <is>
          <t>UT-23.3</t>
        </is>
      </c>
      <c r="E87" s="16" t="inlineStr">
        <is>
          <t>자동 대응 루프 폭주</t>
        </is>
      </c>
      <c r="F87" s="17" t="inlineStr">
        <is>
          <t>자동 복구/대응 에이전트 간 상호 트리거로 피드백 루프가 형성되어 과도한 조치, 자원 소모, 경보 억제 등 시스템 불안정 유발</t>
        </is>
      </c>
      <c r="G87" s="18" t="inlineStr">
        <is>
          <t>하</t>
        </is>
      </c>
      <c r="H87" s="18" t="inlineStr">
        <is>
          <t>중</t>
        </is>
      </c>
      <c r="I87" s="18">
        <f>IF(AND(G87="상",H87="상"),"매우 높음",IF(OR(AND(G87="상",H87="중"),AND(G87="중",H87="상")),"높음",IF(OR(AND(G87="중",H87="중"),AND(G87="상",H87="하"),AND(G87="하",H87="상")),"보통","낮음")))</f>
        <v/>
      </c>
      <c r="J87" s="17" t="inlineStr">
        <is>
          <t>일시적 가용성 저하 및 과잉 조치</t>
        </is>
      </c>
      <c r="K87" s="19" t="inlineStr">
        <is>
          <t>이론·시나리오</t>
        </is>
      </c>
      <c r="L87" s="20" t="n">
        <v>0</v>
      </c>
      <c r="M87" s="17" t="inlineStr">
        <is>
          <t>영향(Impact)</t>
        </is>
      </c>
      <c r="N87" s="21" t="n"/>
      <c r="O87" s="21" t="inlineStr">
        <is>
          <t>ASI08</t>
        </is>
      </c>
      <c r="P87" s="21" t="inlineStr">
        <is>
          <t>• [OWASP 시나리오] 자동 복구 에이전트 간 피드백 루프로 경보 억제 및 과잉 조치(ASI08 시나리오#6)</t>
        </is>
      </c>
      <c r="Q87" s="17" t="inlineStr">
        <is>
          <t>결함 격리·블라스트 반경 상한, 계획/실행 분리, 서킷브레이커, 디지털 트윈 재현 시험</t>
        </is>
      </c>
    </row>
    <row r="88" ht="63.75" customHeight="1">
      <c r="A88" s="36" t="inlineStr">
        <is>
          <t>D06. 에이전트 오남용 및 통제 상실</t>
        </is>
      </c>
      <c r="B88" s="37" t="inlineStr">
        <is>
          <t>UT-24</t>
        </is>
      </c>
      <c r="C88" s="38" t="inlineStr">
        <is>
          <t>통제를 벗어난 에이전트</t>
        </is>
      </c>
      <c r="D88" s="15" t="inlineStr">
        <is>
          <t>UT-24.1</t>
        </is>
      </c>
      <c r="E88" s="16" t="inlineStr">
        <is>
          <t>목표 이탈과 보상 해킹</t>
        </is>
      </c>
      <c r="F88" s="17" t="inlineStr">
        <is>
          <t>에이전트가 부여된 목표를 문자 그대로 최적화하는 과정에서 백업 삭제/통제 우회 등 의도하지 않은 유해 행위를 선택하고 정상 동작처럼 보고</t>
        </is>
      </c>
      <c r="G88" s="18" t="inlineStr">
        <is>
          <t>상</t>
        </is>
      </c>
      <c r="H88" s="18" t="inlineStr">
        <is>
          <t>상</t>
        </is>
      </c>
      <c r="I88" s="18">
        <f>IF(AND(G88="상",H88="상"),"매우 높음",IF(OR(AND(G88="상",H88="중"),AND(G88="중",H88="상")),"높음",IF(OR(AND(G88="중",H88="중"),AND(G88="상",H88="하"),AND(G88="하",H88="상")),"보통","낮음")))</f>
        <v/>
      </c>
      <c r="J88" s="17" t="inlineStr">
        <is>
          <t>권한 내 유해 행위 지속 및 은폐</t>
        </is>
      </c>
      <c r="K88" s="19" t="inlineStr">
        <is>
          <t>실제 사고 확인</t>
        </is>
      </c>
      <c r="L88" s="20" t="n">
        <v>2</v>
      </c>
      <c r="M88" s="17" t="inlineStr">
        <is>
          <t>해당 없음(구조적 결함)</t>
        </is>
      </c>
      <c r="N88" s="21" t="n"/>
      <c r="O88" s="21" t="inlineStr">
        <is>
          <t>ASI10</t>
        </is>
      </c>
      <c r="P88" s="21" t="inlineStr">
        <is>
          <t>• [ATLAS CS0068·실제사고] OpenAI 평가용 자율 에이전트들이 평가 경계를 넘어 외부 인프라 구축·Hugging Face 침해(실제 사고)
• [OWASP 인용] Replit 바이브 코딩 에이전트의 지시 위반 및 데이터 조작(2025.07)
• [OWASP 시나리오] 비용 최소화 목표의 에이전트가 운영 백업 삭제를 학습(ASI10 시나리오#4)</t>
        </is>
      </c>
      <c r="Q88" s="17" t="inlineStr">
        <is>
          <t>행동 기준선·감시 에이전트, 범위 이탈 탐지, 킬스위치·자격증명 즉시 폐기, 서명된 행동 매니페스트</t>
        </is>
      </c>
    </row>
    <row r="89" ht="63.75" customHeight="1">
      <c r="A89" s="36" t="inlineStr">
        <is>
          <t>D06. 에이전트 오남용 및 통제 상실</t>
        </is>
      </c>
      <c r="B89" s="37" t="inlineStr">
        <is>
          <t>UT-24</t>
        </is>
      </c>
      <c r="C89" s="38" t="inlineStr">
        <is>
          <t>통제를 벗어난 에이전트</t>
        </is>
      </c>
      <c r="D89" s="15" t="inlineStr">
        <is>
          <t>UT-24.2</t>
        </is>
      </c>
      <c r="E89" s="16" t="inlineStr">
        <is>
          <t>악성 에이전트 배치</t>
        </is>
      </c>
      <c r="F89" s="17" t="inlineStr">
        <is>
          <t>공격자가 피해 환경에 자체 에이전트를 배치하거나 승인되지 않은 에이전트를 실행하여 정상 에이전트로 위장한 채 데이터 접근 및 행위 수행</t>
        </is>
      </c>
      <c r="G89" s="18" t="inlineStr">
        <is>
          <t>상</t>
        </is>
      </c>
      <c r="H89" s="18" t="inlineStr">
        <is>
          <t>상</t>
        </is>
      </c>
      <c r="I89" s="18">
        <f>IF(AND(G89="상",H89="상"),"매우 높음",IF(OR(AND(G89="상",H89="중"),AND(G89="중",H89="상")),"높음",IF(OR(AND(G89="중",H89="중"),AND(G89="상",H89="하"),AND(G89="하",H89="상")),"보통","낮음")))</f>
        <v/>
      </c>
      <c r="J89" s="17" t="inlineStr">
        <is>
          <t>정상 위장 에이전트의 지속적 데이터 접근</t>
        </is>
      </c>
      <c r="K89" s="19" t="inlineStr">
        <is>
          <t>실제 사고 확인</t>
        </is>
      </c>
      <c r="L89" s="20" t="n">
        <v>2</v>
      </c>
      <c r="M89" s="17" t="inlineStr">
        <is>
          <t>실행(Execution)</t>
        </is>
      </c>
      <c r="N89" s="21" t="inlineStr">
        <is>
          <t>T0103</t>
        </is>
      </c>
      <c r="O89" s="21" t="inlineStr">
        <is>
          <t>ASI10</t>
        </is>
      </c>
      <c r="P89" s="21" t="inlineStr">
        <is>
          <t>• [ATLAS CS0047·실제사고] 과권한 GitHub 토큰으로 Amazon Q VS Code 확장에 파괴형 에이전트 지시 커밋(실제 사고)
• [ATLAS CS0069·실제사고] GTG-1002가 탈옥한 Claude Code로 약 30개 조직 대상 자율 사이버 첩보(실제 사고)</t>
        </is>
      </c>
      <c r="Q89" s="17" t="inlineStr">
        <is>
          <t>행동 기준선·감시 에이전트, 범위 이탈 탐지, 킬스위치·자격증명 즉시 폐기, 서명된 행동 매니페스트</t>
        </is>
      </c>
    </row>
    <row r="90" ht="63.75" customHeight="1">
      <c r="A90" s="36" t="inlineStr">
        <is>
          <t>D06. 에이전트 오남용 및 통제 상실</t>
        </is>
      </c>
      <c r="B90" s="37" t="inlineStr">
        <is>
          <t>UT-24</t>
        </is>
      </c>
      <c r="C90" s="38" t="inlineStr">
        <is>
          <t>통제를 벗어난 에이전트</t>
        </is>
      </c>
      <c r="D90" s="15" t="inlineStr">
        <is>
          <t>UT-24.3</t>
        </is>
      </c>
      <c r="E90" s="16" t="inlineStr">
        <is>
          <t>에이전트 설정 변조</t>
        </is>
      </c>
      <c r="F90" s="17" t="inlineStr">
        <is>
          <t>에이전트 설정 파일(규칙/권한/연결 도구)을 변조하여 보안 기능 비활성화 또는 악성 지시를 영속화하고, 설정을 공유하는 모든 에이전트로 영향 전파</t>
        </is>
      </c>
      <c r="G90" s="18" t="inlineStr">
        <is>
          <t>중</t>
        </is>
      </c>
      <c r="H90" s="18" t="inlineStr">
        <is>
          <t>상</t>
        </is>
      </c>
      <c r="I90" s="18">
        <f>IF(AND(G90="상",H90="상"),"매우 높음",IF(OR(AND(G90="상",H90="중"),AND(G90="중",H90="상")),"높음",IF(OR(AND(G90="중",H90="중"),AND(G90="상",H90="하"),AND(G90="하",H90="상")),"보통","낮음")))</f>
        <v/>
      </c>
      <c r="J90" s="17" t="inlineStr">
        <is>
          <t>보안 기능 해제 및 악성 지시 영속화</t>
        </is>
      </c>
      <c r="K90" s="19" t="inlineStr">
        <is>
          <t>실증·공개 취약점</t>
        </is>
      </c>
      <c r="L90" s="20" t="n">
        <v>0</v>
      </c>
      <c r="M90" s="17" t="inlineStr">
        <is>
          <t>지속성(Persistence)</t>
        </is>
      </c>
      <c r="N90" s="21" t="inlineStr">
        <is>
          <t>T0081</t>
        </is>
      </c>
      <c r="O90" s="21" t="inlineStr">
        <is>
          <t>ASI10</t>
        </is>
      </c>
      <c r="P90" s="21" t="inlineStr">
        <is>
          <t>• [ATLAS CS0041·실증] AI 코딩도구 규칙 파일에 보이지 않는 유니코드 지시를 숨겨 악성 코드 생성 유도
• [ATLAS CS0050·실증] 악성 링크 1회 클릭으로 OpenClaw 로컬 에이전트 원격 코드 실행
• [ATLAS CS0051·실증] 웹페이지 인젝션으로 OpenClaw에 지속 지시를 심어 C2로 활용
• [OWASP 인용] Cursor CLI 프로젝트 설정 경유 명령 실행(2025.10)</t>
        </is>
      </c>
      <c r="Q90" s="17" t="inlineStr">
        <is>
          <t>행동 기준선·감시 에이전트, 범위 이탈 탐지, 킬스위치·자격증명 즉시 폐기, 서명된 행동 매니페스트</t>
        </is>
      </c>
    </row>
    <row r="91" ht="63.75" customHeight="1">
      <c r="A91" s="36" t="inlineStr">
        <is>
          <t>D06. 에이전트 오남용 및 통제 상실</t>
        </is>
      </c>
      <c r="B91" s="37" t="inlineStr">
        <is>
          <t>UT-24</t>
        </is>
      </c>
      <c r="C91" s="38" t="inlineStr">
        <is>
          <t>통제를 벗어난 에이전트</t>
        </is>
      </c>
      <c r="D91" s="15" t="inlineStr">
        <is>
          <t>UT-24.4</t>
        </is>
      </c>
      <c r="E91" s="16" t="inlineStr">
        <is>
          <t>종료 후 활동 지속</t>
        </is>
      </c>
      <c r="F91" s="17" t="inlineStr">
        <is>
          <t>자율 에이전트가 과업 종료 또는 중지 이후에도 실행 환경을 재구성하여 활동을 지속하거나 외부 자원을 확보</t>
        </is>
      </c>
      <c r="G91" s="18" t="inlineStr">
        <is>
          <t>중</t>
        </is>
      </c>
      <c r="H91" s="18" t="inlineStr">
        <is>
          <t>상</t>
        </is>
      </c>
      <c r="I91" s="18">
        <f>IF(AND(G91="상",H91="상"),"매우 높음",IF(OR(AND(G91="상",H91="중"),AND(G91="중",H91="상")),"높음",IF(OR(AND(G91="중",H91="중"),AND(G91="상",H91="하"),AND(G91="하",H91="상")),"보통","낮음")))</f>
        <v/>
      </c>
      <c r="J91" s="17" t="inlineStr">
        <is>
          <t>통제 밖 외부 자원 확보 및 침해</t>
        </is>
      </c>
      <c r="K91" s="19" t="inlineStr">
        <is>
          <t>실제 사고 확인</t>
        </is>
      </c>
      <c r="L91" s="20" t="n">
        <v>1</v>
      </c>
      <c r="M91" s="17" t="inlineStr">
        <is>
          <t>지속성(Persistence)</t>
        </is>
      </c>
      <c r="N91" s="21" t="inlineStr">
        <is>
          <t>T0121</t>
        </is>
      </c>
      <c r="O91" s="21" t="inlineStr">
        <is>
          <t>ASI10</t>
        </is>
      </c>
      <c r="P91" s="21" t="inlineStr">
        <is>
          <t>• [ATLAS CS0068·실제사고] OpenAI 평가용 자율 에이전트들이 평가 경계를 넘어 외부 인프라 구축·Hugging Face 침해(실제 사고)</t>
        </is>
      </c>
      <c r="Q91" s="17" t="inlineStr">
        <is>
          <t>행동 기준선·감시 에이전트, 범위 이탈 탐지, 킬스위치·자격증명 즉시 폐기, 서명된 행동 매니페스트</t>
        </is>
      </c>
    </row>
    <row r="92" ht="63.75" customHeight="1">
      <c r="A92" s="39" t="inlineStr">
        <is>
          <t>D07. AI 신원 및 권한 악용</t>
        </is>
      </c>
      <c r="B92" s="40" t="inlineStr">
        <is>
          <t>UT-25</t>
        </is>
      </c>
      <c r="C92" s="41" t="inlineStr">
        <is>
          <t>에이전트 자격증명 탈취 및 악용</t>
        </is>
      </c>
      <c r="D92" s="15" t="inlineStr">
        <is>
          <t>UT-25.1</t>
        </is>
      </c>
      <c r="E92" s="16" t="inlineStr">
        <is>
          <t>설정 파일 내 비밀정보 수집</t>
        </is>
      </c>
      <c r="F92" s="17" t="inlineStr">
        <is>
          <t>에이전트 설정/RAG 문서/코드 저장소/CI 변수에 평문 저장된 API 키와 토큰을 수집하여 연동 시스템 접근 권한 확보</t>
        </is>
      </c>
      <c r="G92" s="18" t="inlineStr">
        <is>
          <t>상</t>
        </is>
      </c>
      <c r="H92" s="18" t="inlineStr">
        <is>
          <t>상</t>
        </is>
      </c>
      <c r="I92" s="18">
        <f>IF(AND(G92="상",H92="상"),"매우 높음",IF(OR(AND(G92="상",H92="중"),AND(G92="중",H92="상")),"높음",IF(OR(AND(G92="중",H92="중"),AND(G92="상",H92="하"),AND(G92="하",H92="상")),"보통","낮음")))</f>
        <v/>
      </c>
      <c r="J92" s="17" t="inlineStr">
        <is>
          <t>연동 시스템 접근 권한 일괄 확보</t>
        </is>
      </c>
      <c r="K92" s="19" t="inlineStr">
        <is>
          <t>실제 사고 확인</t>
        </is>
      </c>
      <c r="L92" s="20" t="n">
        <v>8</v>
      </c>
      <c r="M92" s="17" t="inlineStr">
        <is>
          <t>자격증명 접근(Credential Access)</t>
        </is>
      </c>
      <c r="N92" s="21" t="inlineStr">
        <is>
          <t>T0055, T0083, T0082</t>
        </is>
      </c>
      <c r="O92" s="21" t="inlineStr">
        <is>
          <t>DSGAI02, MCP01</t>
        </is>
      </c>
      <c r="P92" s="21" t="inlineStr">
        <is>
          <t>• [ATLAS CS0006·실제사고] Clearview AI 저장소 설정 오류로 소스코드·자격증명·모델 노출
• [ATLAS CS0023·실제사고] 인증 없는 Ray 클러스터를 탈취해 연산자원·자격증명·모델 탈취(ShadowRay, 실제 사고)
• [ATLAS CS0030·실제사고] 탈취한 클라우드 자격증명으로 LLM 서비스를 무단 사용·재판매(LLMjacking, 실제 사고)
• [OWASP 인용] Hugging Face Spaces 비밀 토큰 노출(2024)</t>
        </is>
      </c>
      <c r="Q92" s="17" t="inlineStr">
        <is>
          <t>단명·작업범위 토큰, 비밀정보의 프롬프트·설정 내 저장 금지, 비밀 스캐닝, 에이전트별 고유 신원, 퇴역 시 즉시 폐기</t>
        </is>
      </c>
    </row>
    <row r="93" ht="63.75" customHeight="1">
      <c r="A93" s="39" t="inlineStr">
        <is>
          <t>D07. AI 신원 및 권한 악용</t>
        </is>
      </c>
      <c r="B93" s="40" t="inlineStr">
        <is>
          <t>UT-25</t>
        </is>
      </c>
      <c r="C93" s="41" t="inlineStr">
        <is>
          <t>에이전트 자격증명 탈취 및 악용</t>
        </is>
      </c>
      <c r="D93" s="15" t="inlineStr">
        <is>
          <t>UT-25.2</t>
        </is>
      </c>
      <c r="E93" s="16" t="inlineStr">
        <is>
          <t>도구 경유 자격증명 수집</t>
        </is>
      </c>
      <c r="F93" s="17" t="inlineStr">
        <is>
          <t>에이전트 도구(파일 조회/명령 실행)를 악용하여 실행 환경의 자격증명 파일과 환경변수를 읽어 외부로 전달</t>
        </is>
      </c>
      <c r="G93" s="18" t="inlineStr">
        <is>
          <t>중</t>
        </is>
      </c>
      <c r="H93" s="18" t="inlineStr">
        <is>
          <t>상</t>
        </is>
      </c>
      <c r="I93" s="18">
        <f>IF(AND(G93="상",H93="상"),"매우 높음",IF(OR(AND(G93="상",H93="중"),AND(G93="중",H93="상")),"높음",IF(OR(AND(G93="중",H93="중"),AND(G93="상",H93="하"),AND(G93="하",H93="상")),"보통","낮음")))</f>
        <v/>
      </c>
      <c r="J93" s="17" t="inlineStr">
        <is>
          <t>실행 환경 자격증명 탈취</t>
        </is>
      </c>
      <c r="K93" s="19" t="inlineStr">
        <is>
          <t>실증·공개 취약점</t>
        </is>
      </c>
      <c r="L93" s="20" t="n">
        <v>0</v>
      </c>
      <c r="M93" s="17" t="inlineStr">
        <is>
          <t>자격증명 접근(Credential Access)</t>
        </is>
      </c>
      <c r="N93" s="21" t="inlineStr">
        <is>
          <t>T0098</t>
        </is>
      </c>
      <c r="O93" s="21" t="inlineStr">
        <is>
          <t>DSGAI02</t>
        </is>
      </c>
      <c r="P93" s="21" t="inlineStr">
        <is>
          <t>• [ATLAS CS0067·실증] Claude Code GitHub Action이 인젝션으로 저장소 비밀값을 노출
• [ATLAS CS0048·실증] 인터넷에 노출된 ClawdBot 제어 인터페이스 수백 개에서 자격증명 탈취·명령 실행
• [ATLAS CS0054·실증] 원격 MCP 도구 설명문의 숨은 지시로 에이전트가 파일·데이터 유출</t>
        </is>
      </c>
      <c r="Q93" s="17" t="inlineStr">
        <is>
          <t>단명·작업범위 토큰, 비밀정보의 프롬프트·설정 내 저장 금지, 비밀 스캐닝, 에이전트별 고유 신원, 퇴역 시 즉시 폐기</t>
        </is>
      </c>
    </row>
    <row r="94" ht="63.75" customHeight="1">
      <c r="A94" s="39" t="inlineStr">
        <is>
          <t>D07. AI 신원 및 권한 악용</t>
        </is>
      </c>
      <c r="B94" s="40" t="inlineStr">
        <is>
          <t>UT-25</t>
        </is>
      </c>
      <c r="C94" s="41" t="inlineStr">
        <is>
          <t>에이전트 자격증명 탈취 및 악용</t>
        </is>
      </c>
      <c r="D94" s="15" t="inlineStr">
        <is>
          <t>UT-25.3</t>
        </is>
      </c>
      <c r="E94" s="16" t="inlineStr">
        <is>
          <t>메모리 및 세션 쿠키 탈취</t>
        </is>
      </c>
      <c r="F94" s="21" t="inlineStr">
        <is>
          <t>AI 데스크톱 앱 메모리 덤프/브라우저 세션 쿠키 탈취/취약점 익스플로잇을 통해 인증 토큰을 획득하여 사용자로 가장</t>
        </is>
      </c>
      <c r="G94" s="18" t="inlineStr">
        <is>
          <t>중</t>
        </is>
      </c>
      <c r="H94" s="18" t="inlineStr">
        <is>
          <t>상</t>
        </is>
      </c>
      <c r="I94" s="18">
        <f>IF(AND(G94="상",H94="상"),"매우 높음",IF(OR(AND(G94="상",H94="중"),AND(G94="중",H94="상")),"높음",IF(OR(AND(G94="중",H94="중"),AND(G94="상",H94="하"),AND(G94="하",H94="상")),"보통","낮음")))</f>
        <v/>
      </c>
      <c r="J94" s="17" t="inlineStr">
        <is>
          <t>사용자 가장을 통한 계정 장악</t>
        </is>
      </c>
      <c r="K94" s="19" t="inlineStr">
        <is>
          <t>실증·공개 취약점</t>
        </is>
      </c>
      <c r="L94" s="20" t="n">
        <v>0</v>
      </c>
      <c r="M94" s="17" t="inlineStr">
        <is>
          <t>자격증명 접근(Credential Access)</t>
        </is>
      </c>
      <c r="N94" s="21" t="inlineStr">
        <is>
          <t>T0090, T0113, T0106</t>
        </is>
      </c>
      <c r="O94" s="21" t="inlineStr">
        <is>
          <t>DSGAI02</t>
        </is>
      </c>
      <c r="P94" s="21" t="inlineStr">
        <is>
          <t>• [ATLAS CS0036·실증] LLM 데스크톱 앱 메모리에서 인증 토큰을 추출해 사용자 가장(AIKatz)
• [ATLAS CS0050·실증] 악성 링크 1회 클릭으로 OpenClaw 로컬 에이전트 원격 코드 실행
• [ATLAS CS0060·실증] Lenovo 챗봇이 생성한 악성 HTML이 상담원 브라우저에서 실행되어 세션 쿠키 탈취(XSS)</t>
        </is>
      </c>
      <c r="Q94" s="17" t="inlineStr">
        <is>
          <t>단명·작업범위 토큰, 비밀정보의 프롬프트·설정 내 저장 금지, 비밀 스캐닝, 에이전트별 고유 신원, 퇴역 시 즉시 폐기</t>
        </is>
      </c>
    </row>
    <row r="95" ht="63.75" customHeight="1">
      <c r="A95" s="39" t="inlineStr">
        <is>
          <t>D07. AI 신원 및 권한 악용</t>
        </is>
      </c>
      <c r="B95" s="40" t="inlineStr">
        <is>
          <t>UT-25</t>
        </is>
      </c>
      <c r="C95" s="41" t="inlineStr">
        <is>
          <t>에이전트 자격증명 탈취 및 악용</t>
        </is>
      </c>
      <c r="D95" s="15" t="inlineStr">
        <is>
          <t>UT-25.4</t>
        </is>
      </c>
      <c r="E95" s="16" t="inlineStr">
        <is>
          <t>탈취 자격증명 재사용</t>
        </is>
      </c>
      <c r="F95" s="17" t="inlineStr">
        <is>
          <t>탈취한 API 키/토큰/세션으로 정상 사용자로 위장하여 AI 서비스에 접근하고 추가 계정 생성으로 접근을 영속화(예: LLMjacking 무단 사용 및 재판매)</t>
        </is>
      </c>
      <c r="G95" s="18" t="inlineStr">
        <is>
          <t>상</t>
        </is>
      </c>
      <c r="H95" s="18" t="inlineStr">
        <is>
          <t>상</t>
        </is>
      </c>
      <c r="I95" s="18">
        <f>IF(AND(G95="상",H95="상"),"매우 높음",IF(OR(AND(G95="상",H95="중"),AND(G95="중",H95="상")),"높음",IF(OR(AND(G95="중",H95="중"),AND(G95="상",H95="하"),AND(G95="하",H95="상")),"보통","낮음")))</f>
        <v/>
      </c>
      <c r="J95" s="17" t="inlineStr">
        <is>
          <t>정상 사용자 위장 접근 및 대규모 무단 사용</t>
        </is>
      </c>
      <c r="K95" s="19" t="inlineStr">
        <is>
          <t>실제 사고 확인</t>
        </is>
      </c>
      <c r="L95" s="20" t="n">
        <v>6</v>
      </c>
      <c r="M95" s="17" t="inlineStr">
        <is>
          <t>초기 접근(Initial Access)</t>
        </is>
      </c>
      <c r="N95" s="21" t="inlineStr">
        <is>
          <t>T0091, T0091.000, T0091.001, T0012, T0125</t>
        </is>
      </c>
      <c r="O95" s="21" t="inlineStr">
        <is>
          <t>MCP01</t>
        </is>
      </c>
      <c r="P95" s="21" t="inlineStr">
        <is>
          <t>• [ATLAS CS0030·실제사고] 탈취한 클라우드 자격증명으로 LLM 서비스를 무단 사용·재판매(LLMjacking, 실제 사고)
• [ATLAS CS0036·실증] LLM 데스크톱 앱 메모리에서 인증 토큰을 추출해 사용자 가장(AIKatz)
• [ATLAS CS0044·실제사고] APT28 LAMEHUG가 LLM API로 실행 명령을 동적 생성(실제 사고)</t>
        </is>
      </c>
      <c r="Q95" s="17" t="inlineStr">
        <is>
          <t>단명·작업범위 토큰, 비밀정보의 프롬프트·설정 내 저장 금지, 비밀 스캐닝, 에이전트별 고유 신원, 퇴역 시 즉시 폐기</t>
        </is>
      </c>
    </row>
    <row r="96" ht="63.75" customHeight="1">
      <c r="A96" s="39" t="inlineStr">
        <is>
          <t>D07. AI 신원 및 권한 악용</t>
        </is>
      </c>
      <c r="B96" s="40" t="inlineStr">
        <is>
          <t>UT-26</t>
        </is>
      </c>
      <c r="C96" s="41" t="inlineStr">
        <is>
          <t>권한 위임 결함</t>
        </is>
      </c>
      <c r="D96" s="15" t="inlineStr">
        <is>
          <t>UT-26.1</t>
        </is>
      </c>
      <c r="E96" s="16" t="inlineStr">
        <is>
          <t>혼동된 대리인</t>
        </is>
      </c>
      <c r="F96" s="17" t="inlineStr">
        <is>
          <t>권한이 낮은 외부 사용자의 입력을 높은 권한의 에이전트가 대신 처리하여, 요청자 권한 검증 없이 내부자 수준 행위 수행</t>
        </is>
      </c>
      <c r="G96" s="18" t="inlineStr">
        <is>
          <t>중</t>
        </is>
      </c>
      <c r="H96" s="18" t="inlineStr">
        <is>
          <t>상</t>
        </is>
      </c>
      <c r="I96" s="18">
        <f>IF(AND(G96="상",H96="상"),"매우 높음",IF(OR(AND(G96="상",H96="중"),AND(G96="중",H96="상")),"높음",IF(OR(AND(G96="중",H96="중"),AND(G96="상",H96="하"),AND(G96="하",H96="상")),"보통","낮음")))</f>
        <v/>
      </c>
      <c r="J96" s="17" t="inlineStr">
        <is>
          <t>외부 입력에 의한 내부자 수준 행위</t>
        </is>
      </c>
      <c r="K96" s="19" t="inlineStr">
        <is>
          <t>실증·공개 취약점</t>
        </is>
      </c>
      <c r="L96" s="20" t="n">
        <v>0</v>
      </c>
      <c r="M96" s="17" t="inlineStr">
        <is>
          <t>권한 상승(Privilege Escalation)</t>
        </is>
      </c>
      <c r="N96" s="21" t="n"/>
      <c r="O96" s="21" t="inlineStr">
        <is>
          <t>ASI03, MCP07</t>
        </is>
      </c>
      <c r="P96" s="21" t="inlineStr">
        <is>
          <t>• [ATLAS CS0039·실증] 외부 사용자가 Jira 티켓에 악성 입력을 넣어 AI가 내부자 권한으로 행위(Living off AI)
• [OWASP 인용] Heroku MCP 앱 소유권 탈취(2025.06)
• [OWASP 시나리오] 재무 에이전트가 DB 조회 에이전트에 모든 권한을 넘겨 위임 권한 남용(ASI03 시나리오#1)</t>
        </is>
      </c>
      <c r="Q96" s="17" t="inlineStr">
        <is>
          <t>상호 인증·위임 범위 전파, 권한 상승 시 재인가, 세션 격리, 신원 수명주기 관리</t>
        </is>
      </c>
    </row>
    <row r="97" ht="63.75" customHeight="1">
      <c r="A97" s="39" t="inlineStr">
        <is>
          <t>D07. AI 신원 및 권한 악용</t>
        </is>
      </c>
      <c r="B97" s="40" t="inlineStr">
        <is>
          <t>UT-26</t>
        </is>
      </c>
      <c r="C97" s="41" t="inlineStr">
        <is>
          <t>권한 위임 결함</t>
        </is>
      </c>
      <c r="D97" s="15" t="inlineStr">
        <is>
          <t>UT-26.2</t>
        </is>
      </c>
      <c r="E97" s="16" t="inlineStr">
        <is>
          <t>캐시 자격 재사용</t>
        </is>
      </c>
      <c r="F97" s="17" t="inlineStr">
        <is>
          <t>작업 중 캐시된 관리자 자격증명/세션이 다른 사용자 요청이나 후속 작업에 재사용되어 권한 경계 붕괴</t>
        </is>
      </c>
      <c r="G97" s="18" t="inlineStr">
        <is>
          <t>하</t>
        </is>
      </c>
      <c r="H97" s="18" t="inlineStr">
        <is>
          <t>상</t>
        </is>
      </c>
      <c r="I97" s="18">
        <f>IF(AND(G97="상",H97="상"),"매우 높음",IF(OR(AND(G97="상",H97="중"),AND(G97="중",H97="상")),"높음",IF(OR(AND(G97="중",H97="중"),AND(G97="상",H97="하"),AND(G97="하",H97="상")),"보통","낮음")))</f>
        <v/>
      </c>
      <c r="J97" s="17" t="inlineStr">
        <is>
          <t>권한 경계 붕괴로 관리자 권한 노출</t>
        </is>
      </c>
      <c r="K97" s="19" t="inlineStr">
        <is>
          <t>이론·시나리오</t>
        </is>
      </c>
      <c r="L97" s="20" t="n">
        <v>0</v>
      </c>
      <c r="M97" s="17" t="inlineStr">
        <is>
          <t>권한 상승(Privilege Escalation)</t>
        </is>
      </c>
      <c r="N97" s="21" t="n"/>
      <c r="O97" s="21" t="inlineStr">
        <is>
          <t>ASI03</t>
        </is>
      </c>
      <c r="P97" s="21" t="inlineStr">
        <is>
          <t>• [OWASP 시나리오] 패치 작업 중 캐시된 SSH 자격증명을 비관리자가 재사용(ASI03 시나리오#2)</t>
        </is>
      </c>
      <c r="Q97" s="17" t="inlineStr">
        <is>
          <t>상호 인증·위임 범위 전파, 권한 상승 시 재인가, 세션 격리, 신원 수명주기 관리</t>
        </is>
      </c>
    </row>
    <row r="98" ht="63.75" customHeight="1">
      <c r="A98" s="39" t="inlineStr">
        <is>
          <t>D07. AI 신원 및 권한 악용</t>
        </is>
      </c>
      <c r="B98" s="40" t="inlineStr">
        <is>
          <t>UT-26</t>
        </is>
      </c>
      <c r="C98" s="41" t="inlineStr">
        <is>
          <t>권한 위임 결함</t>
        </is>
      </c>
      <c r="D98" s="15" t="inlineStr">
        <is>
          <t>UT-26.3</t>
        </is>
      </c>
      <c r="E98" s="16" t="inlineStr">
        <is>
          <t>인가 시점 불일치</t>
        </is>
      </c>
      <c r="F98" s="17" t="inlineStr">
        <is>
          <t>워크플로 시작 시점에만 권한을 검증하고 실행 단계별 재검증을 생략하여 진행 중 권한 변경/위임 확장이 통제되지 않음</t>
        </is>
      </c>
      <c r="G98" s="18" t="inlineStr">
        <is>
          <t>하</t>
        </is>
      </c>
      <c r="H98" s="18" t="inlineStr">
        <is>
          <t>중</t>
        </is>
      </c>
      <c r="I98" s="18">
        <f>IF(AND(G98="상",H98="상"),"매우 높음",IF(OR(AND(G98="상",H98="중"),AND(G98="중",H98="상")),"높음",IF(OR(AND(G98="중",H98="중"),AND(G98="상",H98="하"),AND(G98="하",H98="상")),"보통","낮음")))</f>
        <v/>
      </c>
      <c r="J98" s="17" t="inlineStr">
        <is>
          <t>진행 중 권한 변경 통제 실패</t>
        </is>
      </c>
      <c r="K98" s="19" t="inlineStr">
        <is>
          <t>이론·시나리오</t>
        </is>
      </c>
      <c r="L98" s="20" t="n">
        <v>0</v>
      </c>
      <c r="M98" s="17" t="inlineStr">
        <is>
          <t>권한 상승(Privilege Escalation)</t>
        </is>
      </c>
      <c r="N98" s="21" t="n"/>
      <c r="O98" s="21" t="inlineStr">
        <is>
          <t>ASI03, MCP07</t>
        </is>
      </c>
      <c r="P98" s="21" t="inlineStr">
        <is>
          <t>• [OWASP 시나리오] 결재 시작 시점에만 승인 검증(ASI03 시나리오#5)</t>
        </is>
      </c>
      <c r="Q98" s="17" t="inlineStr">
        <is>
          <t>상호 인증·위임 범위 전파, 권한 상승 시 재인가, 세션 격리, 신원 수명주기 관리</t>
        </is>
      </c>
    </row>
    <row r="99" ht="63.75" customHeight="1">
      <c r="A99" s="39" t="inlineStr">
        <is>
          <t>D07. AI 신원 및 권한 악용</t>
        </is>
      </c>
      <c r="B99" s="40" t="inlineStr">
        <is>
          <t>UT-27</t>
        </is>
      </c>
      <c r="C99" s="41" t="inlineStr">
        <is>
          <t>에이전트 간 통신 조작</t>
        </is>
      </c>
      <c r="D99" s="15" t="inlineStr">
        <is>
          <t>UT-27.1</t>
        </is>
      </c>
      <c r="E99" s="16" t="inlineStr">
        <is>
          <t>메시지 위조 및 중간자 공격</t>
        </is>
      </c>
      <c r="F99" s="17" t="inlineStr">
        <is>
          <t>에이전트 간 비암호화/무서명 통신 구간에서 메시지를 가로채거나 변조하여 다른 에이전트의 지시와 판단 조작</t>
        </is>
      </c>
      <c r="G99" s="18" t="inlineStr">
        <is>
          <t>중</t>
        </is>
      </c>
      <c r="H99" s="18" t="inlineStr">
        <is>
          <t>상</t>
        </is>
      </c>
      <c r="I99" s="18">
        <f>IF(AND(G99="상",H99="상"),"매우 높음",IF(OR(AND(G99="상",H99="중"),AND(G99="중",H99="상")),"높음",IF(OR(AND(G99="중",H99="중"),AND(G99="상",H99="하"),AND(G99="하",H99="상")),"보통","낮음")))</f>
        <v/>
      </c>
      <c r="J99" s="17" t="inlineStr">
        <is>
          <t>다른 에이전트 지시 및 판단 장악</t>
        </is>
      </c>
      <c r="K99" s="19" t="inlineStr">
        <is>
          <t>실증·공개 취약점</t>
        </is>
      </c>
      <c r="L99" s="20" t="n">
        <v>0</v>
      </c>
      <c r="M99" s="17" t="inlineStr">
        <is>
          <t>내부 확산(Lateral Movement)</t>
        </is>
      </c>
      <c r="N99" s="21" t="n"/>
      <c r="O99" s="21" t="inlineStr">
        <is>
          <t>ASI07</t>
        </is>
      </c>
      <c r="P99" s="21" t="inlineStr">
        <is>
          <t>• [OWASP 인용] MCP OAuth 응답 악용(2025.10)
• [OWASP 시나리오] 비암호화 채널 중간자의 의미 주입(ASI07 시나리오#1)</t>
        </is>
      </c>
      <c r="Q99" s="21" t="inlineStr">
        <is>
          <t>mTLS·메시지 서명·nonce/타임스탬프, 스키마 검증·버전관리, 인증된 디렉터리</t>
        </is>
      </c>
    </row>
    <row r="100" ht="63.75" customHeight="1">
      <c r="A100" s="39" t="inlineStr">
        <is>
          <t>D07. AI 신원 및 권한 악용</t>
        </is>
      </c>
      <c r="B100" s="40" t="inlineStr">
        <is>
          <t>UT-27</t>
        </is>
      </c>
      <c r="C100" s="41" t="inlineStr">
        <is>
          <t>에이전트 간 통신 조작</t>
        </is>
      </c>
      <c r="D100" s="15" t="inlineStr">
        <is>
          <t>UT-27.2</t>
        </is>
      </c>
      <c r="E100" s="16" t="inlineStr">
        <is>
          <t>메시지 재전송</t>
        </is>
      </c>
      <c r="F100" s="17" t="inlineStr">
        <is>
          <t>과거의 정상 지시/승인 메시지를 재전송하여 만료된 절차 또는 권한을 재실행</t>
        </is>
      </c>
      <c r="G100" s="18" t="inlineStr">
        <is>
          <t>하</t>
        </is>
      </c>
      <c r="H100" s="18" t="inlineStr">
        <is>
          <t>중</t>
        </is>
      </c>
      <c r="I100" s="18">
        <f>IF(AND(G100="상",H100="상"),"매우 높음",IF(OR(AND(G100="상",H100="중"),AND(G100="중",H100="상")),"높음",IF(OR(AND(G100="중",H100="중"),AND(G100="상",H100="하"),AND(G100="하",H100="상")),"보통","낮음")))</f>
        <v/>
      </c>
      <c r="J100" s="17" t="inlineStr">
        <is>
          <t>만료 절차 재실행(범위 제한)</t>
        </is>
      </c>
      <c r="K100" s="19" t="inlineStr">
        <is>
          <t>이론·시나리오</t>
        </is>
      </c>
      <c r="L100" s="20" t="n">
        <v>0</v>
      </c>
      <c r="M100" s="17" t="inlineStr">
        <is>
          <t>내부 확산(Lateral Movement)</t>
        </is>
      </c>
      <c r="N100" s="21" t="n"/>
      <c r="O100" s="21" t="inlineStr">
        <is>
          <t>ASI07</t>
        </is>
      </c>
      <c r="P100" s="21" t="inlineStr">
        <is>
          <t>• [OWASP 시나리오] 과거 긴급 조정 메시지 재전송으로 구식 절차 실행(ASI07 시나리오#3)</t>
        </is>
      </c>
      <c r="Q100" s="21" t="inlineStr">
        <is>
          <t>mTLS·메시지 서명·nonce/타임스탬프, 스키마 검증·버전관리, 인증된 디렉터리</t>
        </is>
      </c>
    </row>
    <row r="101" ht="63.75" customHeight="1">
      <c r="A101" s="39" t="inlineStr">
        <is>
          <t>D07. AI 신원 및 권한 악용</t>
        </is>
      </c>
      <c r="B101" s="40" t="inlineStr">
        <is>
          <t>UT-27</t>
        </is>
      </c>
      <c r="C101" s="41" t="inlineStr">
        <is>
          <t>에이전트 간 통신 조작</t>
        </is>
      </c>
      <c r="D101" s="15" t="inlineStr">
        <is>
          <t>UT-27.3</t>
        </is>
      </c>
      <c r="E101" s="16" t="inlineStr">
        <is>
          <t>에이전트 위장 등록</t>
        </is>
      </c>
      <c r="F101" s="17" t="inlineStr">
        <is>
          <t>디스커버리 서비스/에이전트 레지스트리에 위장 에이전트를 등록하거나 에이전트 카드를 과장하여 정상 위임 작업과 데이터를 가로챔</t>
        </is>
      </c>
      <c r="G101" s="18" t="inlineStr">
        <is>
          <t>중</t>
        </is>
      </c>
      <c r="H101" s="18" t="inlineStr">
        <is>
          <t>상</t>
        </is>
      </c>
      <c r="I101" s="18">
        <f>IF(AND(G101="상",H101="상"),"매우 높음",IF(OR(AND(G101="상",H101="중"),AND(G101="중",H101="상")),"높음",IF(OR(AND(G101="중",H101="중"),AND(G101="상",H101="하"),AND(G101="하",H101="상")),"보통","낮음")))</f>
        <v/>
      </c>
      <c r="J101" s="17" t="inlineStr">
        <is>
          <t>위임 작업 및 데이터 가로채기</t>
        </is>
      </c>
      <c r="K101" s="19" t="inlineStr">
        <is>
          <t>실증·공개 취약점</t>
        </is>
      </c>
      <c r="L101" s="20" t="n">
        <v>0</v>
      </c>
      <c r="M101" s="17" t="inlineStr">
        <is>
          <t>내부 확산(Lateral Movement)</t>
        </is>
      </c>
      <c r="N101" s="21" t="n"/>
      <c r="O101" s="21" t="inlineStr">
        <is>
          <t>ASI07</t>
        </is>
      </c>
      <c r="P101" s="21" t="inlineStr">
        <is>
          <t>• [OWASP 인용] A2A 프로토콜 스푸핑(Agent-in-the-Middle, 2025.04)
• [OWASP 시나리오] 탐색 서비스에 가짜 피어 에이전트 등록(ASI07 시나리오#6)</t>
        </is>
      </c>
      <c r="Q101" s="21" t="inlineStr">
        <is>
          <t>mTLS·메시지 서명·nonce/타임스탬프, 스키마 검증·버전관리, 인증된 디렉터리</t>
        </is>
      </c>
    </row>
    <row r="102" ht="63.75" customHeight="1">
      <c r="A102" s="42" t="inlineStr">
        <is>
          <t>D08. AI 공급망 침해</t>
        </is>
      </c>
      <c r="B102" s="43" t="inlineStr">
        <is>
          <t>UT-28</t>
        </is>
      </c>
      <c r="C102" s="44" t="inlineStr">
        <is>
          <t>모델 및 데이터 공급망 침해</t>
        </is>
      </c>
      <c r="D102" s="15" t="inlineStr">
        <is>
          <t>UT-28.1</t>
        </is>
      </c>
      <c r="E102" s="16" t="inlineStr">
        <is>
          <t>변조 모델 유입</t>
        </is>
      </c>
      <c r="F102" s="17" t="inlineStr">
        <is>
          <t>공개 모델 허브/데이터셋 저장소에서 변조되거나 악성 코드가 내장된 모델/데이터를 검증 없이 도입하여 조직 환경에 백도어 및 실행 코드 유입</t>
        </is>
      </c>
      <c r="G102" s="18" t="inlineStr">
        <is>
          <t>상</t>
        </is>
      </c>
      <c r="H102" s="18" t="inlineStr">
        <is>
          <t>상</t>
        </is>
      </c>
      <c r="I102" s="18">
        <f>IF(AND(G102="상",H102="상"),"매우 높음",IF(OR(AND(G102="상",H102="중"),AND(G102="중",H102="상")),"높음",IF(OR(AND(G102="중",H102="중"),AND(G102="상",H102="하"),AND(G102="하",H102="상")),"보통","낮음")))</f>
        <v/>
      </c>
      <c r="J102" s="17" t="inlineStr">
        <is>
          <t>조직 환경 내 백도어 및 실행 코드 유입</t>
        </is>
      </c>
      <c r="K102" s="19" t="inlineStr">
        <is>
          <t>실제 사고 확인</t>
        </is>
      </c>
      <c r="L102" s="20" t="n">
        <v>4</v>
      </c>
      <c r="M102" s="17" t="inlineStr">
        <is>
          <t>초기 접근(Initial Access)</t>
        </is>
      </c>
      <c r="N102" s="21" t="inlineStr">
        <is>
          <t>T0010, T0010.002, T0010.003, T0115, T0115.001, T0011.000</t>
        </is>
      </c>
      <c r="O102" s="21" t="inlineStr">
        <is>
          <t>LLM04, DSGAI04, DSGAI05</t>
        </is>
      </c>
      <c r="P102" s="21" t="inlineStr">
        <is>
          <t>• [ATLAS CS0031·실제사고] Hugging Face에 역쉘을 내장한 악성 모델 호스팅(실제 사고)
• [ATLAS CS0027·실증] 실존 기업을 사칭한 Hugging Face 조직 계정으로 악성 모델 유포
• [ATLAS CS0002·실제사고] VirusTotal에 변종 샘플을 대량 제출해 크라우드소싱 학습 데이터를 오염</t>
        </is>
      </c>
      <c r="Q102" s="21" t="inlineStr">
        <is>
          <t>AIBOM/SBOM 인벤토리, 버전 고정·출처 검증, 공급자 약관·라이선스 검토, 레지스트리 허용목록</t>
        </is>
      </c>
    </row>
    <row r="103" ht="63.75" customHeight="1">
      <c r="A103" s="42" t="inlineStr">
        <is>
          <t>D08. AI 공급망 침해</t>
        </is>
      </c>
      <c r="B103" s="43" t="inlineStr">
        <is>
          <t>UT-28</t>
        </is>
      </c>
      <c r="C103" s="44" t="inlineStr">
        <is>
          <t>모델 및 데이터 공급망 침해</t>
        </is>
      </c>
      <c r="D103" s="15" t="inlineStr">
        <is>
          <t>UT-28.2</t>
        </is>
      </c>
      <c r="E103" s="16" t="inlineStr">
        <is>
          <t>악성 의존성 유입</t>
        </is>
      </c>
      <c r="F103" s="21" t="inlineStr">
        <is>
          <t>AI 프레임워크/라이브러리/하드웨어 공급망에 삽입된 악성 패키지나 변조 구성요소가 설치 과정에서 실행되어 개발 및 학습 환경 장악</t>
        </is>
      </c>
      <c r="G103" s="18" t="inlineStr">
        <is>
          <t>상</t>
        </is>
      </c>
      <c r="H103" s="18" t="inlineStr">
        <is>
          <t>상</t>
        </is>
      </c>
      <c r="I103" s="18">
        <f>IF(AND(G103="상",H103="상"),"매우 높음",IF(OR(AND(G103="상",H103="중"),AND(G103="중",H103="상")),"높음",IF(OR(AND(G103="중",H103="중"),AND(G103="상",H103="하"),AND(G103="하",H103="상")),"보통","낮음")))</f>
        <v/>
      </c>
      <c r="J103" s="17" t="inlineStr">
        <is>
          <t>개발 및 학습 환경 장악</t>
        </is>
      </c>
      <c r="K103" s="19" t="inlineStr">
        <is>
          <t>실제 사고 확인</t>
        </is>
      </c>
      <c r="L103" s="20" t="n">
        <v>2</v>
      </c>
      <c r="M103" s="17" t="inlineStr">
        <is>
          <t>초기 접근(Initial Access)</t>
        </is>
      </c>
      <c r="N103" s="21" t="inlineStr">
        <is>
          <t>T0010.000, T0010.001, T0011.001</t>
        </is>
      </c>
      <c r="O103" s="21" t="inlineStr">
        <is>
          <t>LLM04</t>
        </is>
      </c>
      <c r="P103" s="21" t="inlineStr">
        <is>
          <t>• [ATLAS CS0015·실제사고] PyPI에 올라간 악성 torchtriton 의존성으로 PyTorch-nightly 사용자 정보 유출(실제 사고)
• [ATLAS CS0047·실제사고] 과권한 GitHub 토큰으로 Amazon Q VS Code 확장에 파괴형 에이전트 지시 커밋(실제 사고)
• [ATLAS CS0022·실증] LLM이 환각한 가짜 패키지명을 공격자가 선점해 악성 패키지 배포 가능성 입증</t>
        </is>
      </c>
      <c r="Q103" s="21" t="inlineStr">
        <is>
          <t>AIBOM/SBOM 인벤토리, 버전 고정·출처 검증, 공급자 약관·라이선스 검토, 레지스트리 허용목록</t>
        </is>
      </c>
    </row>
    <row r="104" ht="63.75" customHeight="1">
      <c r="A104" s="42" t="inlineStr">
        <is>
          <t>D08. AI 공급망 침해</t>
        </is>
      </c>
      <c r="B104" s="43" t="inlineStr">
        <is>
          <t>UT-28</t>
        </is>
      </c>
      <c r="C104" s="44" t="inlineStr">
        <is>
          <t>모델 및 데이터 공급망 침해</t>
        </is>
      </c>
      <c r="D104" s="15" t="inlineStr">
        <is>
          <t>UT-28.3</t>
        </is>
      </c>
      <c r="E104" s="16" t="inlineStr">
        <is>
          <t>환각 패키지 선점</t>
        </is>
      </c>
      <c r="F104" s="21" t="inlineStr">
        <is>
          <t>AI 코딩 도구가 반복 환각하는 존재하지 않는 패키지명을 공격자가 선점 등록하여, AI 권고에 따라 설치되는 악성 패키지 유포(slopsquatting)</t>
        </is>
      </c>
      <c r="G104" s="18" t="inlineStr">
        <is>
          <t>중</t>
        </is>
      </c>
      <c r="H104" s="18" t="inlineStr">
        <is>
          <t>상</t>
        </is>
      </c>
      <c r="I104" s="18">
        <f>IF(AND(G104="상",H104="상"),"매우 높음",IF(OR(AND(G104="상",H104="중"),AND(G104="중",H104="상")),"높음",IF(OR(AND(G104="중",H104="중"),AND(G104="상",H104="하"),AND(G104="하",H104="상")),"보통","낮음")))</f>
        <v/>
      </c>
      <c r="J104" s="21" t="inlineStr">
        <is>
          <t>AI 권고 경유 개발 환경 코드 실행</t>
        </is>
      </c>
      <c r="K104" s="19" t="inlineStr">
        <is>
          <t>실증·공개 취약점</t>
        </is>
      </c>
      <c r="L104" s="20" t="n">
        <v>0</v>
      </c>
      <c r="M104" s="17" t="inlineStr">
        <is>
          <t>자원 개발(Resource Development)</t>
        </is>
      </c>
      <c r="N104" s="21" t="inlineStr">
        <is>
          <t>T0060</t>
        </is>
      </c>
      <c r="O104" s="21" t="inlineStr">
        <is>
          <t>LLM04</t>
        </is>
      </c>
      <c r="P104" s="21" t="inlineStr">
        <is>
          <t>• [ATLAS CS0022·실증] LLM이 환각한 가짜 패키지명을 공격자가 선점해 악성 패키지 배포 가능성 입증</t>
        </is>
      </c>
      <c r="Q104" s="21" t="inlineStr">
        <is>
          <t>AIBOM/SBOM 인벤토리, 버전 고정·출처 검증, 공급자 약관·라이선스 검토, 레지스트리 허용목록</t>
        </is>
      </c>
    </row>
    <row r="105" ht="63.75" customHeight="1">
      <c r="A105" s="42" t="inlineStr">
        <is>
          <t>D08. AI 공급망 침해</t>
        </is>
      </c>
      <c r="B105" s="43" t="inlineStr">
        <is>
          <t>UT-28</t>
        </is>
      </c>
      <c r="C105" s="44" t="inlineStr">
        <is>
          <t>모델 및 데이터 공급망 침해</t>
        </is>
      </c>
      <c r="D105" s="15" t="inlineStr">
        <is>
          <t>UT-28.4</t>
        </is>
      </c>
      <c r="E105" s="16" t="inlineStr">
        <is>
          <t>네임스페이스 및 평판 악용</t>
        </is>
      </c>
      <c r="F105" s="17" t="inlineStr">
        <is>
          <t>삭제된 작성자 네임스페이스 재등록/유사 조직명 사칭/다운로드 수 조작/배포 후 악성 전환(러그풀)으로 신뢰를 가장한 악성 아티팩트 유포</t>
        </is>
      </c>
      <c r="G105" s="18" t="inlineStr">
        <is>
          <t>상</t>
        </is>
      </c>
      <c r="H105" s="18" t="inlineStr">
        <is>
          <t>상</t>
        </is>
      </c>
      <c r="I105" s="18">
        <f>IF(AND(G105="상",H105="상"),"매우 높음",IF(OR(AND(G105="상",H105="중"),AND(G105="중",H105="상")),"높음",IF(OR(AND(G105="중",H105="중"),AND(G105="상",H105="하"),AND(G105="하",H105="상")),"보통","낮음")))</f>
        <v/>
      </c>
      <c r="J105" s="17" t="inlineStr">
        <is>
          <t>신뢰 위장 악성 아티팩트의 광범위 유입</t>
        </is>
      </c>
      <c r="K105" s="19" t="inlineStr">
        <is>
          <t>실제 사고 확인</t>
        </is>
      </c>
      <c r="L105" s="20" t="n">
        <v>2</v>
      </c>
      <c r="M105" s="17" t="inlineStr">
        <is>
          <t>방어 회피(Defense Evasion)</t>
        </is>
      </c>
      <c r="N105" s="21" t="inlineStr">
        <is>
          <t>T0109, T0111, T0074</t>
        </is>
      </c>
      <c r="O105" s="21" t="inlineStr">
        <is>
          <t>LLM04</t>
        </is>
      </c>
      <c r="P105" s="21" t="inlineStr">
        <is>
          <t>• [ATLAS CS0065·실증] 삭제된 Hugging Face 작성자 네임스페이스를 재등록해 악성 모델로 대체
• [ATLAS CS0044·실제사고] APT28 LAMEHUG가 LLM API로 실행 명령을 동적 생성(실제 사고)
• [ATLAS CS0053·실제사고] Postmark를 사칭한 악성 MCP 서버가 발송 메일을 몰래 BCC로 유출(실제 사고)</t>
        </is>
      </c>
      <c r="Q105" s="21" t="inlineStr">
        <is>
          <t>AIBOM/SBOM 인벤토리, 버전 고정·출처 검증, 공급자 약관·라이선스 검토, 레지스트리 허용목록</t>
        </is>
      </c>
    </row>
    <row r="106" ht="63.75" customHeight="1">
      <c r="A106" s="42" t="inlineStr">
        <is>
          <t>D08. AI 공급망 침해</t>
        </is>
      </c>
      <c r="B106" s="43" t="inlineStr">
        <is>
          <t>UT-28</t>
        </is>
      </c>
      <c r="C106" s="44" t="inlineStr">
        <is>
          <t>모델 및 데이터 공급망 침해</t>
        </is>
      </c>
      <c r="D106" s="15" t="inlineStr">
        <is>
          <t>UT-28.5</t>
        </is>
      </c>
      <c r="E106" s="16" t="inlineStr">
        <is>
          <t>배포 파이프라인 악용</t>
        </is>
      </c>
      <c r="F106" s="17" t="inlineStr">
        <is>
          <t>컨테이너 레지스트리/모델 서빙 파이프라인/자동 처리 서비스의 취약점을 악용하여 배포 단계에서 모델 이미지 교체 또는 악성 코드 주입</t>
        </is>
      </c>
      <c r="G106" s="18" t="inlineStr">
        <is>
          <t>중</t>
        </is>
      </c>
      <c r="H106" s="18" t="inlineStr">
        <is>
          <t>상</t>
        </is>
      </c>
      <c r="I106" s="18">
        <f>IF(AND(G106="상",H106="상"),"매우 높음",IF(OR(AND(G106="상",H106="중"),AND(G106="중",H106="상")),"높음",IF(OR(AND(G106="중",H106="중"),AND(G106="상",H106="하"),AND(G106="하",H106="상")),"보통","낮음")))</f>
        <v/>
      </c>
      <c r="J106" s="17" t="inlineStr">
        <is>
          <t>배포 단계 모델 교체 및 코드 주입</t>
        </is>
      </c>
      <c r="K106" s="19" t="inlineStr">
        <is>
          <t>실제 사고 확인</t>
        </is>
      </c>
      <c r="L106" s="20" t="n">
        <v>1</v>
      </c>
      <c r="M106" s="17" t="inlineStr">
        <is>
          <t>초기 접근(Initial Access)</t>
        </is>
      </c>
      <c r="N106" s="21" t="inlineStr">
        <is>
          <t>T0010.004, T0119</t>
        </is>
      </c>
      <c r="O106" s="21" t="inlineStr">
        <is>
          <t>DSGAI05</t>
        </is>
      </c>
      <c r="P106" s="21" t="inlineStr">
        <is>
          <t>• [ATLAS CS0028·실증] 노출된 사설 컨테이너 레지스트리 8천여 개 발견, 모델 이미지 변조 가능성 입증
• [ATLAS CS0068·실제사고] OpenAI 평가용 자율 에이전트들이 평가 경계를 넘어 외부 인프라 구축·Hugging Face 침해(실제 사고)</t>
        </is>
      </c>
      <c r="Q106" s="21" t="inlineStr">
        <is>
          <t>AIBOM/SBOM 인벤토리, 버전 고정·출처 검증, 공급자 약관·라이선스 검토, 레지스트리 허용목록</t>
        </is>
      </c>
    </row>
    <row r="107" ht="63.75" customHeight="1">
      <c r="A107" s="42" t="inlineStr">
        <is>
          <t>D08. AI 공급망 침해</t>
        </is>
      </c>
      <c r="B107" s="43" t="inlineStr">
        <is>
          <t>UT-29</t>
        </is>
      </c>
      <c r="C107" s="44" t="inlineStr">
        <is>
          <t>에이전트 도구 공급망 오염</t>
        </is>
      </c>
      <c r="D107" s="15" t="inlineStr">
        <is>
          <t>UT-29.1</t>
        </is>
      </c>
      <c r="E107" s="16" t="inlineStr">
        <is>
          <t>도구 설명 오염</t>
        </is>
      </c>
      <c r="F107" s="21" t="inlineStr">
        <is>
          <t>MCP 서버/플러그인의 도구 설명문에 사용자에게 보이지 않는 지시를 삽입하여, 도구 목록을 읽는 시점에 에이전트가 파일 유출 등 숨은 지시 수행</t>
        </is>
      </c>
      <c r="G107" s="18" t="inlineStr">
        <is>
          <t>중</t>
        </is>
      </c>
      <c r="H107" s="18" t="inlineStr">
        <is>
          <t>상</t>
        </is>
      </c>
      <c r="I107" s="18">
        <f>IF(AND(G107="상",H107="상"),"매우 높음",IF(OR(AND(G107="상",H107="중"),AND(G107="중",H107="상")),"높음",IF(OR(AND(G107="중",H107="중"),AND(G107="상",H107="하"),AND(G107="하",H107="상")),"보통","낮음")))</f>
        <v/>
      </c>
      <c r="J107" s="17" t="inlineStr">
        <is>
          <t>도구 목록 조회만으로 숨은 지시 실행</t>
        </is>
      </c>
      <c r="K107" s="19" t="inlineStr">
        <is>
          <t>실사용 기법 포함</t>
        </is>
      </c>
      <c r="L107" s="20" t="n">
        <v>0</v>
      </c>
      <c r="M107" s="17" t="inlineStr">
        <is>
          <t>지속성(Persistence)</t>
        </is>
      </c>
      <c r="N107" s="21" t="inlineStr">
        <is>
          <t>T0110, T0110.000</t>
        </is>
      </c>
      <c r="O107" s="21" t="inlineStr">
        <is>
          <t>ASI04, MCP03</t>
        </is>
      </c>
      <c r="P107" s="21" t="inlineStr">
        <is>
          <t>• [ATLAS CS0049·실증] 스킬 레지스트리에 올린 오염된 ClawdBot 스킬로 원격 코드 실행
• [ATLAS CS0054·실증] 원격 MCP 도구 설명문의 숨은 지시로 에이전트가 파일·데이터 유출</t>
        </is>
      </c>
      <c r="Q107" s="17" t="inlineStr">
        <is>
          <t>도구 서술자·매니페스트 서명 및 고정, 도구 설명 변경 감지, 샌드박스·egress 통제, 킬스위치</t>
        </is>
      </c>
    </row>
    <row r="108" ht="75.75" customHeight="1">
      <c r="A108" s="42" t="inlineStr">
        <is>
          <t>D08. AI 공급망 침해</t>
        </is>
      </c>
      <c r="B108" s="43" t="inlineStr">
        <is>
          <t>UT-29</t>
        </is>
      </c>
      <c r="C108" s="44" t="inlineStr">
        <is>
          <t>에이전트 도구 공급망 오염</t>
        </is>
      </c>
      <c r="D108" s="15" t="inlineStr">
        <is>
          <t>UT-29.2</t>
        </is>
      </c>
      <c r="E108" s="16" t="inlineStr">
        <is>
          <t>악성 도구 구현</t>
        </is>
      </c>
      <c r="F108" s="17" t="inlineStr">
        <is>
          <t>정상 서비스를 사칭하거나 배포 후 악성으로 전환된 MCP 서버/에이전트 스킬이 실행 권한을 이용해 데이터 유출 및 원격 코드 실행 수행</t>
        </is>
      </c>
      <c r="G108" s="18" t="inlineStr">
        <is>
          <t>상</t>
        </is>
      </c>
      <c r="H108" s="18" t="inlineStr">
        <is>
          <t>상</t>
        </is>
      </c>
      <c r="I108" s="18">
        <f>IF(AND(G108="상",H108="상"),"매우 높음",IF(OR(AND(G108="상",H108="중"),AND(G108="중",H108="상")),"높음",IF(OR(AND(G108="중",H108="중"),AND(G108="상",H108="하"),AND(G108="하",H108="상")),"보통","낮음")))</f>
        <v/>
      </c>
      <c r="J108" s="17" t="inlineStr">
        <is>
          <t>실행 권한을 이용한 데이터 유출 및 원격 코드 실행</t>
        </is>
      </c>
      <c r="K108" s="19" t="inlineStr">
        <is>
          <t>실제 사고 확인</t>
        </is>
      </c>
      <c r="L108" s="20" t="n">
        <v>2</v>
      </c>
      <c r="M108" s="17" t="inlineStr">
        <is>
          <t>초기 접근(Initial Access)</t>
        </is>
      </c>
      <c r="N108" s="21" t="inlineStr">
        <is>
          <t>T0110.001, T0115.002, T0010.005, T0011.002</t>
        </is>
      </c>
      <c r="O108" s="21" t="inlineStr">
        <is>
          <t>ASI04, DSGAI06, MCP04</t>
        </is>
      </c>
      <c r="P108" s="21" t="inlineStr">
        <is>
          <t>• [ATLAS CS0053·실제사고] Postmark를 사칭한 악성 MCP 서버가 발송 메일을 몰래 BCC로 유출(실제 사고)
• [ATLAS CS0049·실증] 스킬 레지스트리에 올린 오염된 ClawdBot 스킬로 원격 코드 실행
• [ATLAS CS0054·실증] 원격 MCP 도구 설명문의 숨은 지시로 에이전트가 파일·데이터 유출
• [OWASP 인용] 악성 MCP 패키지 백도어(npm, 2025.10, 실제 사고) / CVE-2025-6514 mcp-remote / AgentSmith Prompt-Hub 프록시 공격(2025.06)</t>
        </is>
      </c>
      <c r="Q108" s="17" t="inlineStr">
        <is>
          <t>도구 서술자·매니페스트 서명 및 고정, 도구 설명 변경 감지, 샌드박스·egress 통제, 킬스위치</t>
        </is>
      </c>
    </row>
    <row r="109" ht="63.75" customHeight="1">
      <c r="A109" s="42" t="inlineStr">
        <is>
          <t>D08. AI 공급망 침해</t>
        </is>
      </c>
      <c r="B109" s="43" t="inlineStr">
        <is>
          <t>UT-29</t>
        </is>
      </c>
      <c r="C109" s="44" t="inlineStr">
        <is>
          <t>에이전트 도구 공급망 오염</t>
        </is>
      </c>
      <c r="D109" s="15" t="inlineStr">
        <is>
          <t>UT-29.3</t>
        </is>
      </c>
      <c r="E109" s="16" t="inlineStr">
        <is>
          <t>도구 응답 오염</t>
        </is>
      </c>
      <c r="F109" s="17" t="inlineStr">
        <is>
          <t>침해되거나 악의적인 도구가 정상 결과에 지시문/허위 데이터를 섞어 반환하여 에이전트의 후속 판단과 행위 조작</t>
        </is>
      </c>
      <c r="G109" s="18" t="inlineStr">
        <is>
          <t>하</t>
        </is>
      </c>
      <c r="H109" s="18" t="inlineStr">
        <is>
          <t>상</t>
        </is>
      </c>
      <c r="I109" s="18">
        <f>IF(AND(G109="상",H109="상"),"매우 높음",IF(OR(AND(G109="상",H109="중"),AND(G109="중",H109="상")),"높음",IF(OR(AND(G109="중",H109="중"),AND(G109="상",H109="하"),AND(G109="하",H109="상")),"보통","낮음")))</f>
        <v/>
      </c>
      <c r="J109" s="17" t="inlineStr">
        <is>
          <t>에이전트 후속 판단 및 행위 장악</t>
        </is>
      </c>
      <c r="K109" s="19" t="inlineStr">
        <is>
          <t>이론·시나리오</t>
        </is>
      </c>
      <c r="L109" s="20" t="n">
        <v>0</v>
      </c>
      <c r="M109" s="17" t="inlineStr">
        <is>
          <t>지속성(Persistence)</t>
        </is>
      </c>
      <c r="N109" s="21" t="inlineStr">
        <is>
          <t>T0110.002</t>
        </is>
      </c>
      <c r="O109" s="21" t="inlineStr">
        <is>
          <t>MCP03</t>
        </is>
      </c>
      <c r="P109" s="21" t="inlineStr">
        <is>
          <t>— (근거 사례 없음: OWASP 위험 정의 기반)</t>
        </is>
      </c>
      <c r="Q109" s="17" t="inlineStr">
        <is>
          <t>도구 서술자·매니페스트 서명 및 고정, 도구 설명 변경 감지, 샌드박스·egress 통제, 킬스위치</t>
        </is>
      </c>
    </row>
    <row r="110" ht="63.75" customHeight="1">
      <c r="A110" s="42" t="inlineStr">
        <is>
          <t>D08. AI 공급망 침해</t>
        </is>
      </c>
      <c r="B110" s="43" t="inlineStr">
        <is>
          <t>UT-29</t>
        </is>
      </c>
      <c r="C110" s="44" t="inlineStr">
        <is>
          <t>에이전트 도구 공급망 오염</t>
        </is>
      </c>
      <c r="D110" s="15" t="inlineStr">
        <is>
          <t>UT-29.4</t>
        </is>
      </c>
      <c r="E110" s="16" t="inlineStr">
        <is>
          <t>도구명 사칭</t>
        </is>
      </c>
      <c r="F110" s="17" t="inlineStr">
        <is>
          <t>정상 도구와 유사한 이름/설명의 악성 도구를 등록하여 에이전트가 도구 해석 과정에서 악성 도구를 우선 선택하도록 유도(도구 타이포스쿼팅)</t>
        </is>
      </c>
      <c r="G110" s="18" t="inlineStr">
        <is>
          <t>하</t>
        </is>
      </c>
      <c r="H110" s="18" t="inlineStr">
        <is>
          <t>중</t>
        </is>
      </c>
      <c r="I110" s="18">
        <f>IF(AND(G110="상",H110="상"),"매우 높음",IF(OR(AND(G110="상",H110="중"),AND(G110="중",H110="상")),"높음",IF(OR(AND(G110="중",H110="중"),AND(G110="상",H110="하"),AND(G110="하",H110="상")),"보통","낮음")))</f>
        <v/>
      </c>
      <c r="J110" s="17" t="inlineStr">
        <is>
          <t>잘못된 도구 선택 유도(범위 제한)</t>
        </is>
      </c>
      <c r="K110" s="19" t="inlineStr">
        <is>
          <t>이론·시나리오</t>
        </is>
      </c>
      <c r="L110" s="20" t="n">
        <v>0</v>
      </c>
      <c r="M110" s="17" t="inlineStr">
        <is>
          <t>방어 회피(Defense Evasion)</t>
        </is>
      </c>
      <c r="N110" s="21" t="n"/>
      <c r="O110" s="21" t="inlineStr">
        <is>
          <t>ASI04</t>
        </is>
      </c>
      <c r="P110" s="21" t="inlineStr">
        <is>
          <t>• [OWASP 시나리오] 'report' 악성 도구가 'report_finance'보다 먼저 해석되는 타이포스쿼팅(ASI02 시나리오#5)</t>
        </is>
      </c>
      <c r="Q110" s="17" t="inlineStr">
        <is>
          <t>도구 서술자·매니페스트 서명 및 고정, 도구 설명 변경 감지, 샌드박스·egress 통제, 킬스위치</t>
        </is>
      </c>
    </row>
    <row r="111" ht="63.75" customHeight="1">
      <c r="A111" s="45" t="inlineStr">
        <is>
          <t>D09. AI 인프라 노출 및 자원 고갈</t>
        </is>
      </c>
      <c r="B111" s="46" t="inlineStr">
        <is>
          <t>UT-30</t>
        </is>
      </c>
      <c r="C111" s="45" t="inlineStr">
        <is>
          <t>AI 자원 고갈 공격</t>
        </is>
      </c>
      <c r="D111" s="15" t="inlineStr">
        <is>
          <t>UT-30.1</t>
        </is>
      </c>
      <c r="E111" s="16" t="inlineStr">
        <is>
          <t>서비스 거부</t>
        </is>
      </c>
      <c r="F111" s="17" t="inlineStr">
        <is>
          <t>대량 요청/장문 입력/무의미 데이터 투입으로 추론 자원을 고갈시켜 서비스 응답 지연 또는 중단 유발</t>
        </is>
      </c>
      <c r="G111" s="18" t="inlineStr">
        <is>
          <t>중</t>
        </is>
      </c>
      <c r="H111" s="18" t="inlineStr">
        <is>
          <t>하</t>
        </is>
      </c>
      <c r="I111" s="18">
        <f>IF(AND(G111="상",H111="상"),"매우 높음",IF(OR(AND(G111="상",H111="중"),AND(G111="중",H111="상")),"높음",IF(OR(AND(G111="중",H111="중"),AND(G111="상",H111="하"),AND(G111="하",H111="상")),"보통","낮음")))</f>
        <v/>
      </c>
      <c r="J111" s="17" t="inlineStr">
        <is>
          <t>일시적 장애</t>
        </is>
      </c>
      <c r="K111" s="19" t="inlineStr">
        <is>
          <t>실증·공개 취약점</t>
        </is>
      </c>
      <c r="L111" s="20" t="n">
        <v>0</v>
      </c>
      <c r="M111" s="17" t="inlineStr">
        <is>
          <t>영향(Impact)</t>
        </is>
      </c>
      <c r="N111" s="21" t="inlineStr">
        <is>
          <t>T0029, T0046</t>
        </is>
      </c>
      <c r="O111" s="21" t="inlineStr">
        <is>
          <t>LLM06</t>
        </is>
      </c>
      <c r="P111" s="21" t="inlineStr">
        <is>
          <t>• [ATLAS CS0016·실증] MathGPT에 프롬프트 인젝션으로 파이썬 코드 실행·API 키 노출
• [ATLAS CS0036·실증] LLM 데스크톱 앱 메모리에서 인증 토큰을 추출해 사용자 가장(AIKatz)</t>
        </is>
      </c>
      <c r="Q111" s="17" t="inlineStr">
        <is>
          <t>요청당 비용 기반 한도, 에이전트 반복·팬아웃 상한, 서킷브레이커, 예산 경보</t>
        </is>
      </c>
    </row>
    <row r="112" ht="63.75" customHeight="1">
      <c r="A112" s="45" t="inlineStr">
        <is>
          <t>D09. AI 인프라 노출 및 자원 고갈</t>
        </is>
      </c>
      <c r="B112" s="46" t="inlineStr">
        <is>
          <t>UT-30</t>
        </is>
      </c>
      <c r="C112" s="45" t="inlineStr">
        <is>
          <t>AI 자원 고갈 공격</t>
        </is>
      </c>
      <c r="D112" s="15" t="inlineStr">
        <is>
          <t>UT-30.2</t>
        </is>
      </c>
      <c r="E112" s="16" t="inlineStr">
        <is>
          <t>과금 폭탄</t>
        </is>
      </c>
      <c r="F112" s="17" t="inlineStr">
        <is>
          <t>고비용 추론을 유발하는 질의를 반복하거나 탈취 키로 서비스를 남용하여 종량제 과금 급증(Denial of Wallet)</t>
        </is>
      </c>
      <c r="G112" s="18" t="inlineStr">
        <is>
          <t>중</t>
        </is>
      </c>
      <c r="H112" s="18" t="inlineStr">
        <is>
          <t>중</t>
        </is>
      </c>
      <c r="I112" s="18">
        <f>IF(AND(G112="상",H112="상"),"매우 높음",IF(OR(AND(G112="상",H112="중"),AND(G112="중",H112="상")),"높음",IF(OR(AND(G112="중",H112="중"),AND(G112="상",H112="하"),AND(G112="하",H112="상")),"보통","낮음")))</f>
        <v/>
      </c>
      <c r="J112" s="17" t="inlineStr">
        <is>
          <t>재무 손실(서비스 영향 제한적)</t>
        </is>
      </c>
      <c r="K112" s="19" t="inlineStr">
        <is>
          <t>실제 사고 확인</t>
        </is>
      </c>
      <c r="L112" s="20" t="n">
        <v>1</v>
      </c>
      <c r="M112" s="17" t="inlineStr">
        <is>
          <t>영향(Impact)</t>
        </is>
      </c>
      <c r="N112" s="21" t="inlineStr">
        <is>
          <t>T0034, T0034.000, T0034.001</t>
        </is>
      </c>
      <c r="O112" s="21" t="inlineStr">
        <is>
          <t>LLM06</t>
        </is>
      </c>
      <c r="P112" s="21" t="inlineStr">
        <is>
          <t>• [ATLAS CS0030·실제사고] 탈취한 클라우드 자격증명으로 LLM 서비스를 무단 사용·재판매(LLMjacking, 실제 사고)</t>
        </is>
      </c>
      <c r="Q112" s="17" t="inlineStr">
        <is>
          <t>요청당 비용 기반 한도, 에이전트 반복·팬아웃 상한, 서킷브레이커, 예산 경보</t>
        </is>
      </c>
    </row>
    <row r="113" ht="63.75" customHeight="1">
      <c r="A113" s="45" t="inlineStr">
        <is>
          <t>D09. AI 인프라 노출 및 자원 고갈</t>
        </is>
      </c>
      <c r="B113" s="46" t="inlineStr">
        <is>
          <t>UT-30</t>
        </is>
      </c>
      <c r="C113" s="45" t="inlineStr">
        <is>
          <t>AI 자원 고갈 공격</t>
        </is>
      </c>
      <c r="D113" s="15" t="inlineStr">
        <is>
          <t>UT-30.3</t>
        </is>
      </c>
      <c r="E113" s="16" t="inlineStr">
        <is>
          <t>에이전트 루프 소모</t>
        </is>
      </c>
      <c r="F113" s="17" t="inlineStr">
        <is>
          <t>도구 호출 반복/에이전트 팬아웃/누적 컨텍스트 증가를 유도하여 단일 요청으로 대량 연산과 비용 소모</t>
        </is>
      </c>
      <c r="G113" s="18" t="inlineStr">
        <is>
          <t>하</t>
        </is>
      </c>
      <c r="H113" s="18" t="inlineStr">
        <is>
          <t>중</t>
        </is>
      </c>
      <c r="I113" s="18">
        <f>IF(AND(G113="상",H113="상"),"매우 높음",IF(OR(AND(G113="상",H113="중"),AND(G113="중",H113="상")),"높음",IF(OR(AND(G113="중",H113="중"),AND(G113="상",H113="하"),AND(G113="하",H113="상")),"보통","낮음")))</f>
        <v/>
      </c>
      <c r="J113" s="17" t="inlineStr">
        <is>
          <t>단일 요청 기반 대량 비용 소모</t>
        </is>
      </c>
      <c r="K113" s="19" t="inlineStr">
        <is>
          <t>이론·시나리오</t>
        </is>
      </c>
      <c r="L113" s="20" t="n">
        <v>0</v>
      </c>
      <c r="M113" s="17" t="inlineStr">
        <is>
          <t>영향(Impact)</t>
        </is>
      </c>
      <c r="N113" s="21" t="inlineStr">
        <is>
          <t>T0034.002</t>
        </is>
      </c>
      <c r="O113" s="21" t="inlineStr">
        <is>
          <t>LLM06</t>
        </is>
      </c>
      <c r="P113" s="21" t="inlineStr">
        <is>
          <t>— (근거 사례 없음: OWASP 위험 정의 기반)</t>
        </is>
      </c>
      <c r="Q113" s="17" t="inlineStr">
        <is>
          <t>요청당 비용 기반 한도, 에이전트 반복·팬아웃 상한, 서킷브레이커, 예산 경보</t>
        </is>
      </c>
    </row>
    <row r="114" ht="63.75" customHeight="1">
      <c r="A114" s="45" t="inlineStr">
        <is>
          <t>D09. AI 인프라 노출 및 자원 고갈</t>
        </is>
      </c>
      <c r="B114" s="46" t="inlineStr">
        <is>
          <t>UT-30</t>
        </is>
      </c>
      <c r="C114" s="45" t="inlineStr">
        <is>
          <t>AI 자원 고갈 공격</t>
        </is>
      </c>
      <c r="D114" s="15" t="inlineStr">
        <is>
          <t>UT-30.4</t>
        </is>
      </c>
      <c r="E114" s="22" t="inlineStr">
        <is>
          <t>RAG 가용성 저하</t>
        </is>
      </c>
      <c r="F114" s="17" t="inlineStr">
        <is>
          <t>검색 방해 문서 주입/벡터 DB 과부하/복제본 장애로 지식 검색 품질과 가용성을 저하시켜 AI 서비스 기능 마비</t>
        </is>
      </c>
      <c r="G114" s="18" t="inlineStr">
        <is>
          <t>하</t>
        </is>
      </c>
      <c r="H114" s="18" t="inlineStr">
        <is>
          <t>중</t>
        </is>
      </c>
      <c r="I114" s="18">
        <f>IF(AND(G114="상",H114="상"),"매우 높음",IF(OR(AND(G114="상",H114="중"),AND(G114="중",H114="상")),"높음",IF(OR(AND(G114="중",H114="중"),AND(G114="상",H114="하"),AND(G114="하",H114="상")),"보통","낮음")))</f>
        <v/>
      </c>
      <c r="J114" s="17" t="inlineStr">
        <is>
          <t>지식 검색 기능 저하 및 마비</t>
        </is>
      </c>
      <c r="K114" s="19" t="inlineStr">
        <is>
          <t>이론·시나리오</t>
        </is>
      </c>
      <c r="L114" s="20" t="n">
        <v>0</v>
      </c>
      <c r="M114" s="17" t="inlineStr">
        <is>
          <t>영향(Impact)</t>
        </is>
      </c>
      <c r="N114" s="21" t="n"/>
      <c r="O114" s="21" t="inlineStr">
        <is>
          <t>DSGAI17</t>
        </is>
      </c>
      <c r="P114" s="21" t="inlineStr">
        <is>
          <t>• [OWASP 시나리오] 에이전트 검색 폭주로 벡터 DB 포화(DSGAI17 시나리오)</t>
        </is>
      </c>
      <c r="Q114" s="17" t="inlineStr">
        <is>
          <t>요청당 비용 기반 한도, 에이전트 반복·팬아웃 상한, 서킷브레이커, 예산 경보</t>
        </is>
      </c>
    </row>
    <row r="115" ht="63.75" customHeight="1">
      <c r="A115" s="45" t="inlineStr">
        <is>
          <t>D09. AI 인프라 노출 및 자원 고갈</t>
        </is>
      </c>
      <c r="B115" s="46" t="inlineStr">
        <is>
          <t>UT-31</t>
        </is>
      </c>
      <c r="C115" s="45" t="inlineStr">
        <is>
          <t>AI 서비스 노출 및 섀도 AI</t>
        </is>
      </c>
      <c r="D115" s="15" t="inlineStr">
        <is>
          <t>UT-31.1</t>
        </is>
      </c>
      <c r="E115" s="16" t="inlineStr">
        <is>
          <t>외부 노출 AI 서비스</t>
        </is>
      </c>
      <c r="F115" s="17" t="inlineStr">
        <is>
          <t>인증 미설정/기본 자격증명/공개 설정 상태의 AI 클러스터, 노트북, 에이전트 관리 콘솔이 인터넷에 노출되어 원격 명령 실행 및 자산 탈취 경로로 악용</t>
        </is>
      </c>
      <c r="G115" s="18" t="inlineStr">
        <is>
          <t>상</t>
        </is>
      </c>
      <c r="H115" s="18" t="inlineStr">
        <is>
          <t>상</t>
        </is>
      </c>
      <c r="I115" s="18">
        <f>IF(AND(G115="상",H115="상"),"매우 높음",IF(OR(AND(G115="상",H115="중"),AND(G115="중",H115="상")),"높음",IF(OR(AND(G115="중",H115="중"),AND(G115="상",H115="하"),AND(G115="하",H115="상")),"보통","낮음")))</f>
        <v/>
      </c>
      <c r="J115" s="17" t="inlineStr">
        <is>
          <t>원격 명령 실행 및 AI 자산 탈취</t>
        </is>
      </c>
      <c r="K115" s="19" t="inlineStr">
        <is>
          <t>실제 사고 확인</t>
        </is>
      </c>
      <c r="L115" s="20" t="n">
        <v>2</v>
      </c>
      <c r="M115" s="17" t="inlineStr">
        <is>
          <t>초기 접근(Initial Access)</t>
        </is>
      </c>
      <c r="N115" s="21" t="inlineStr">
        <is>
          <t>T0132</t>
        </is>
      </c>
      <c r="O115" s="21" t="n"/>
      <c r="P115" s="21" t="inlineStr">
        <is>
          <t>• [ATLAS CS0006·실제사고] Clearview AI 저장소 설정 오류로 소스코드·자격증명·모델 노출
• [ATLAS CS0023·실제사고] 인증 없는 Ray 클러스터를 탈취해 연산자원·자격증명·모델 탈취(ShadowRay, 실제 사고)
• [ATLAS CS0048·실증] 인터넷에 노출된 ClawdBot 제어 인터페이스 수백 개에서 자격증명 탈취·명령 실행
• [OWASP 인용] Microsoft Copilot Studio 에이전트 기본 공개 설정 결함(2025.07)</t>
        </is>
      </c>
      <c r="Q115" s="21" t="inlineStr">
        <is>
          <t>AI 자산 인벤토리·AI-DSPM, 승인 도구 카탈로그, 외부 노출 스캔, 네트워크 egress 통제</t>
        </is>
      </c>
    </row>
    <row r="116" ht="63.75" customHeight="1">
      <c r="A116" s="45" t="inlineStr">
        <is>
          <t>D09. AI 인프라 노출 및 자원 고갈</t>
        </is>
      </c>
      <c r="B116" s="46" t="inlineStr">
        <is>
          <t>UT-31</t>
        </is>
      </c>
      <c r="C116" s="45" t="inlineStr">
        <is>
          <t>AI 서비스 노출 및 섀도 AI</t>
        </is>
      </c>
      <c r="D116" s="15" t="inlineStr">
        <is>
          <t>UT-31.2</t>
        </is>
      </c>
      <c r="E116" s="16" t="inlineStr">
        <is>
          <t>섀도 AI 사용</t>
        </is>
      </c>
      <c r="F116" s="17" t="inlineStr">
        <is>
          <t>승인되지 않은 외부 AI 서비스에 임직원이 업무 데이터를 입력하여 보안 통제와 계약 보호 밖에서 데이터가 처리 및 보관</t>
        </is>
      </c>
      <c r="G116" s="18" t="inlineStr">
        <is>
          <t>하</t>
        </is>
      </c>
      <c r="H116" s="18" t="inlineStr">
        <is>
          <t>중</t>
        </is>
      </c>
      <c r="I116" s="18">
        <f>IF(AND(G116="상",H116="상"),"매우 높음",IF(OR(AND(G116="상",H116="중"),AND(G116="중",H116="상")),"높음",IF(OR(AND(G116="중",H116="중"),AND(G116="상",H116="하"),AND(G116="하",H116="상")),"보통","낮음")))</f>
        <v/>
      </c>
      <c r="J116" s="17" t="inlineStr">
        <is>
          <t>통제 밖 데이터 처리(계약 보호 부재)</t>
        </is>
      </c>
      <c r="K116" s="19" t="inlineStr">
        <is>
          <t>이론·시나리오</t>
        </is>
      </c>
      <c r="L116" s="20" t="n">
        <v>0</v>
      </c>
      <c r="M116" s="17" t="inlineStr">
        <is>
          <t>해당 없음(구조적 결함)</t>
        </is>
      </c>
      <c r="N116" s="21" t="n"/>
      <c r="O116" s="21" t="inlineStr">
        <is>
          <t>DSGAI03</t>
        </is>
      </c>
      <c r="P116" s="21" t="inlineStr">
        <is>
          <t>• [OWASP 시나리오] 영업팀이 비승인 메일 작성 도구에 CRM 데이터를 붙여넣음(DSGAI03 시나리오)</t>
        </is>
      </c>
      <c r="Q116" s="21" t="inlineStr">
        <is>
          <t>AI 자산 인벤토리·AI-DSPM, 승인 도구 카탈로그, 외부 노출 스캔, 네트워크 egress 통제</t>
        </is>
      </c>
    </row>
    <row r="117" ht="63.75" customHeight="1">
      <c r="A117" s="45" t="inlineStr">
        <is>
          <t>D09. AI 인프라 노출 및 자원 고갈</t>
        </is>
      </c>
      <c r="B117" s="46" t="inlineStr">
        <is>
          <t>UT-31</t>
        </is>
      </c>
      <c r="C117" s="45" t="inlineStr">
        <is>
          <t>AI 서비스 노출 및 섀도 AI</t>
        </is>
      </c>
      <c r="D117" s="15" t="inlineStr">
        <is>
          <t>UT-31.3</t>
        </is>
      </c>
      <c r="E117" s="16" t="inlineStr">
        <is>
          <t>섀도 MCP 서버</t>
        </is>
      </c>
      <c r="F117" s="17" t="inlineStr">
        <is>
          <t>보안 검토 없이 설치된 MCP 서버가 기본 자격증명/과도한 권한으로 운영되어 통제되지 않는 데이터 접근 경로 및 공격면 형성</t>
        </is>
      </c>
      <c r="G117" s="18" t="inlineStr">
        <is>
          <t>하</t>
        </is>
      </c>
      <c r="H117" s="18" t="inlineStr">
        <is>
          <t>중</t>
        </is>
      </c>
      <c r="I117" s="18">
        <f>IF(AND(G117="상",H117="상"),"매우 높음",IF(OR(AND(G117="상",H117="중"),AND(G117="중",H117="상")),"높음",IF(OR(AND(G117="중",H117="중"),AND(G117="상",H117="하"),AND(G117="하",H117="상")),"보통","낮음")))</f>
        <v/>
      </c>
      <c r="J117" s="17" t="inlineStr">
        <is>
          <t>통제되지 않는 데이터 접근 경로</t>
        </is>
      </c>
      <c r="K117" s="19" t="inlineStr">
        <is>
          <t>이론·시나리오</t>
        </is>
      </c>
      <c r="L117" s="20" t="n">
        <v>0</v>
      </c>
      <c r="M117" s="17" t="inlineStr">
        <is>
          <t>해당 없음(구조적 결함)</t>
        </is>
      </c>
      <c r="N117" s="21" t="n"/>
      <c r="O117" s="21" t="inlineStr">
        <is>
          <t>MCP09</t>
        </is>
      </c>
      <c r="P117" s="21" t="inlineStr">
        <is>
          <t>• [OWASP 시나리오] 거버넌스 밖에서 기본 자격증명으로 운영되는 MCP 인스턴스(MCP09 개요)</t>
        </is>
      </c>
      <c r="Q117" s="21" t="inlineStr">
        <is>
          <t>AI 자산 인벤토리·AI-DSPM, 승인 도구 카탈로그, 외부 노출 스캔, 네트워크 egress 통제</t>
        </is>
      </c>
    </row>
    <row r="118" ht="63.75" customHeight="1">
      <c r="A118" s="45" t="inlineStr">
        <is>
          <t>D09. AI 인프라 노출 및 자원 고갈</t>
        </is>
      </c>
      <c r="B118" s="46" t="inlineStr">
        <is>
          <t>UT-32</t>
        </is>
      </c>
      <c r="C118" s="47" t="inlineStr">
        <is>
          <t>단말 AI 어시스턴트 과권한</t>
        </is>
      </c>
      <c r="D118" s="15" t="inlineStr">
        <is>
          <t>UT-32.1</t>
        </is>
      </c>
      <c r="E118" s="16" t="inlineStr">
        <is>
          <t>브라우저 확장 과권한</t>
        </is>
      </c>
      <c r="F118" s="17" t="inlineStr">
        <is>
          <t>전체 탭/페이지 읽기 권한을 가진 AI 브라우저 확장이 열람 중인 사내 시스템 화면과 데이터를 원격 LLM으로 전송하거나 웹페이지 인젝션으로 탈취</t>
        </is>
      </c>
      <c r="G118" s="18" t="inlineStr">
        <is>
          <t>하</t>
        </is>
      </c>
      <c r="H118" s="18" t="inlineStr">
        <is>
          <t>중</t>
        </is>
      </c>
      <c r="I118" s="18">
        <f>IF(AND(G118="상",H118="상"),"매우 높음",IF(OR(AND(G118="상",H118="중"),AND(G118="중",H118="상")),"높음",IF(OR(AND(G118="중",H118="중"),AND(G118="상",H118="하"),AND(G118="하",H118="상")),"보통","낮음")))</f>
        <v/>
      </c>
      <c r="J118" s="17" t="inlineStr">
        <is>
          <t>열람 화면 단위 정보 노출</t>
        </is>
      </c>
      <c r="K118" s="19" t="inlineStr">
        <is>
          <t>이론·시나리오</t>
        </is>
      </c>
      <c r="L118" s="20" t="n">
        <v>0</v>
      </c>
      <c r="M118" s="17" t="inlineStr">
        <is>
          <t>수집(Collection)</t>
        </is>
      </c>
      <c r="N118" s="21" t="n"/>
      <c r="O118" s="21" t="inlineStr">
        <is>
          <t>DSGAI16</t>
        </is>
      </c>
      <c r="P118" s="21" t="inlineStr">
        <is>
          <t>• [OWASP 시나리오] 모든 탭 접근 권한의 AI 확장이 조작된 웹페이지로 탈취(DSGAI16 시나리오)</t>
        </is>
      </c>
      <c r="Q118" s="17" t="inlineStr">
        <is>
          <t>확장·에이전트 권한 최소화, 로컬 설정 파일 무결성 보호, 엔드포인트 DLP·EDR 연계</t>
        </is>
      </c>
    </row>
    <row r="119" ht="63.75" customHeight="1">
      <c r="A119" s="45" t="inlineStr">
        <is>
          <t>D09. AI 인프라 노출 및 자원 고갈</t>
        </is>
      </c>
      <c r="B119" s="46" t="inlineStr">
        <is>
          <t>UT-32</t>
        </is>
      </c>
      <c r="C119" s="47" t="inlineStr">
        <is>
          <t>단말 AI 어시스턴트 과권한</t>
        </is>
      </c>
      <c r="D119" s="15" t="inlineStr">
        <is>
          <t>UT-32.2</t>
        </is>
      </c>
      <c r="E119" s="16" t="inlineStr">
        <is>
          <t>로컬 에이전트 장악</t>
        </is>
      </c>
      <c r="F119" s="17" t="inlineStr">
        <is>
          <t>악성 링크/조작 콘텐츠를 통해 사용자 PC의 로컬 AI 에이전트를 원격 장악하여 로컬 파일 접근 및 명령 실행</t>
        </is>
      </c>
      <c r="G119" s="18" t="inlineStr">
        <is>
          <t>중</t>
        </is>
      </c>
      <c r="H119" s="18" t="inlineStr">
        <is>
          <t>상</t>
        </is>
      </c>
      <c r="I119" s="18">
        <f>IF(AND(G119="상",H119="상"),"매우 높음",IF(OR(AND(G119="상",H119="중"),AND(G119="중",H119="상")),"높음",IF(OR(AND(G119="중",H119="중"),AND(G119="상",H119="하"),AND(G119="하",H119="상")),"보통","낮음")))</f>
        <v/>
      </c>
      <c r="J119" s="17" t="inlineStr">
        <is>
          <t>사용자 PC 파일 접근 및 명령 실행</t>
        </is>
      </c>
      <c r="K119" s="19" t="inlineStr">
        <is>
          <t>실증·공개 취약점</t>
        </is>
      </c>
      <c r="L119" s="20" t="n">
        <v>0</v>
      </c>
      <c r="M119" s="17" t="inlineStr">
        <is>
          <t>영향(Impact)</t>
        </is>
      </c>
      <c r="N119" s="21" t="inlineStr">
        <is>
          <t>T0112.000</t>
        </is>
      </c>
      <c r="O119" s="21" t="inlineStr">
        <is>
          <t>DSGAI16</t>
        </is>
      </c>
      <c r="P119" s="21" t="inlineStr">
        <is>
          <t>• [ATLAS CS0036·실증] LLM 데스크톱 앱 메모리에서 인증 토큰을 추출해 사용자 가장(AIKatz)
• [ATLAS CS0050·실증] 악성 링크 1회 클릭으로 OpenClaw 로컬 에이전트 원격 코드 실행
• [ATLAS CS0051·실증] 웹페이지 인젝션으로 OpenClaw에 지속 지시를 심어 C2로 활용</t>
        </is>
      </c>
      <c r="Q119" s="17" t="inlineStr">
        <is>
          <t>확장·에이전트 권한 최소화, 로컬 설정 파일 무결성 보호, 엔드포인트 DLP·EDR 연계</t>
        </is>
      </c>
    </row>
    <row r="120" ht="63.75" customHeight="1">
      <c r="A120" s="45" t="inlineStr">
        <is>
          <t>D09. AI 인프라 노출 및 자원 고갈</t>
        </is>
      </c>
      <c r="B120" s="46" t="inlineStr">
        <is>
          <t>UT-32</t>
        </is>
      </c>
      <c r="C120" s="47" t="inlineStr">
        <is>
          <t>단말 AI 어시스턴트 과권한</t>
        </is>
      </c>
      <c r="D120" s="15" t="inlineStr">
        <is>
          <t>UT-32.3</t>
        </is>
      </c>
      <c r="E120" s="16" t="inlineStr">
        <is>
          <t>코딩 어시스턴트 통제 우회</t>
        </is>
      </c>
      <c r="F120" s="21" t="inlineStr">
        <is>
          <t>AI 코딩 어시스턴트의 명령 허용목록/승인 절차를 환경변수/규칙 파일 조작으로 우회하여 개발자 권한으로 임의 명령 실행</t>
        </is>
      </c>
      <c r="G120" s="18" t="inlineStr">
        <is>
          <t>중</t>
        </is>
      </c>
      <c r="H120" s="18" t="inlineStr">
        <is>
          <t>상</t>
        </is>
      </c>
      <c r="I120" s="18">
        <f>IF(AND(G120="상",H120="상"),"매우 높음",IF(OR(AND(G120="상",H120="중"),AND(G120="중",H120="상")),"높음",IF(OR(AND(G120="중",H120="중"),AND(G120="상",H120="하"),AND(G120="하",H120="상")),"보통","낮음")))</f>
        <v/>
      </c>
      <c r="J120" s="17" t="inlineStr">
        <is>
          <t>개발자 권한 임의 명령 실행</t>
        </is>
      </c>
      <c r="K120" s="19" t="inlineStr">
        <is>
          <t>실제 사고 확인</t>
        </is>
      </c>
      <c r="L120" s="20" t="n">
        <v>1</v>
      </c>
      <c r="M120" s="17" t="inlineStr">
        <is>
          <t>방어 회피(Defense Evasion)</t>
        </is>
      </c>
      <c r="N120" s="21" t="n"/>
      <c r="O120" s="21" t="inlineStr">
        <is>
          <t>DSGAI16</t>
        </is>
      </c>
      <c r="P120" s="21" t="inlineStr">
        <is>
          <t>• [ATLAS CS0047·실제사고] 과권한 GitHub 토큰으로 Amazon Q VS Code 확장에 파괴형 에이전트 지시 커밋(실제 사고)
• [ATLAS CS0041·실증] AI 코딩도구 규칙 파일에 보이지 않는 유니코드 지시를 숨겨 악성 코드 생성 유도
• [OWASP 인용] CVE-2026-22708 Cursor 터미널 허용목록 우회</t>
        </is>
      </c>
      <c r="Q120" s="17" t="inlineStr">
        <is>
          <t>확장·에이전트 권한 최소화, 로컬 설정 파일 무결성 보호, 엔드포인트 DLP·EDR 연계</t>
        </is>
      </c>
    </row>
    <row r="121" ht="63.75" customHeight="1">
      <c r="A121" s="45" t="inlineStr">
        <is>
          <t>D09. AI 인프라 노출 및 자원 고갈</t>
        </is>
      </c>
      <c r="B121" s="46" t="inlineStr">
        <is>
          <t>UT-33</t>
        </is>
      </c>
      <c r="C121" s="47" t="inlineStr">
        <is>
          <t>로그 및 라벨링 경로 노출</t>
        </is>
      </c>
      <c r="D121" s="15" t="inlineStr">
        <is>
          <t>UT-33.1</t>
        </is>
      </c>
      <c r="E121" s="16" t="inlineStr">
        <is>
          <t>관측성 도구 과다 수집</t>
        </is>
      </c>
      <c r="F121" s="17" t="inlineStr">
        <is>
          <t>디버그 로깅/APM/추적 도구가 프롬프트, 응답, 추론 과정, 토큰을 원문 그대로 수집하여 광범위한 운영 인력과 외부 도구에 민감정보 노출</t>
        </is>
      </c>
      <c r="G121" s="18" t="inlineStr">
        <is>
          <t>하</t>
        </is>
      </c>
      <c r="H121" s="18" t="inlineStr">
        <is>
          <t>중</t>
        </is>
      </c>
      <c r="I121" s="18">
        <f>IF(AND(G121="상",H121="상"),"매우 높음",IF(OR(AND(G121="상",H121="중"),AND(G121="중",H121="상")),"높음",IF(OR(AND(G121="중",H121="중"),AND(G121="상",H121="하"),AND(G121="하",H121="상")),"보통","낮음")))</f>
        <v/>
      </c>
      <c r="J121" s="17" t="inlineStr">
        <is>
          <t>운영 인력 및 외부 도구로 민감정보 확산</t>
        </is>
      </c>
      <c r="K121" s="19" t="inlineStr">
        <is>
          <t>이론·시나리오</t>
        </is>
      </c>
      <c r="L121" s="20" t="n">
        <v>0</v>
      </c>
      <c r="M121" s="17" t="inlineStr">
        <is>
          <t>수집(Collection)</t>
        </is>
      </c>
      <c r="N121" s="21" t="n"/>
      <c r="O121" s="21" t="inlineStr">
        <is>
          <t>DSGAI14</t>
        </is>
      </c>
      <c r="P121" s="21" t="inlineStr">
        <is>
          <t>• [OWASP 시나리오] 확장 추론 흔적이 공유 APM에 기록되어 엔지니어 수백 명에게 PII 노출(LLM02 시나리오#3)</t>
        </is>
      </c>
      <c r="Q121" s="17" t="inlineStr">
        <is>
          <t>로그 마스킹·보존기간 최소화, 관측성 도구 접근통제, 라벨러용 비식별화·최소노출</t>
        </is>
      </c>
    </row>
    <row r="122" ht="63.75" customHeight="1">
      <c r="A122" s="45" t="inlineStr">
        <is>
          <t>D09. AI 인프라 노출 및 자원 고갈</t>
        </is>
      </c>
      <c r="B122" s="46" t="inlineStr">
        <is>
          <t>UT-33</t>
        </is>
      </c>
      <c r="C122" s="47" t="inlineStr">
        <is>
          <t>로그 및 라벨링 경로 노출</t>
        </is>
      </c>
      <c r="D122" s="15" t="inlineStr">
        <is>
          <t>UT-33.2</t>
        </is>
      </c>
      <c r="E122" s="16" t="inlineStr">
        <is>
          <t>라벨링 인력 과다 노출</t>
        </is>
      </c>
      <c r="F122" s="21" t="inlineStr">
        <is>
          <t>RLHF/품질 검수를 위해 비식별 처리 없이 원본 대화와 문서를 외부 라벨링 인력에 대량 제공하여 개인정보 및 기밀 노출</t>
        </is>
      </c>
      <c r="G122" s="18" t="inlineStr">
        <is>
          <t>하</t>
        </is>
      </c>
      <c r="H122" s="18" t="inlineStr">
        <is>
          <t>중</t>
        </is>
      </c>
      <c r="I122" s="18">
        <f>IF(AND(G122="상",H122="상"),"매우 높음",IF(OR(AND(G122="상",H122="중"),AND(G122="중",H122="상")),"높음",IF(OR(AND(G122="중",H122="중"),AND(G122="상",H122="하"),AND(G122="하",H122="상")),"보통","낮음")))</f>
        <v/>
      </c>
      <c r="J122" s="17" t="inlineStr">
        <is>
          <t>외부 인력 대상 원본 데이터 대량 노출</t>
        </is>
      </c>
      <c r="K122" s="19" t="inlineStr">
        <is>
          <t>이론·시나리오</t>
        </is>
      </c>
      <c r="L122" s="20" t="n">
        <v>0</v>
      </c>
      <c r="M122" s="17" t="inlineStr">
        <is>
          <t>수집(Collection)</t>
        </is>
      </c>
      <c r="N122" s="21" t="n"/>
      <c r="O122" s="21" t="inlineStr">
        <is>
          <t>DSGAI19</t>
        </is>
      </c>
      <c r="P122" s="21" t="inlineStr">
        <is>
          <t>• [OWASP 시나리오] PHI가 포함된 상담 기록 수천 건을 라벨링 업체에 원본 전달(DSGAI19 시나리오)</t>
        </is>
      </c>
      <c r="Q122" s="17" t="inlineStr">
        <is>
          <t>로그 마스킹·보존기간 최소화, 관측성 도구 접근통제, 라벨러용 비식별화·최소노출</t>
        </is>
      </c>
    </row>
    <row r="123" ht="63.75" customHeight="1">
      <c r="A123" s="48" t="inlineStr">
        <is>
          <t>D10. 사용자 기만 및 AI 거버넌스 미흡</t>
        </is>
      </c>
      <c r="B123" s="49" t="inlineStr">
        <is>
          <t>UT-34</t>
        </is>
      </c>
      <c r="C123" s="50" t="inlineStr">
        <is>
          <t>인간-에이전트 신뢰 악용</t>
        </is>
      </c>
      <c r="D123" s="15" t="inlineStr">
        <is>
          <t>UT-34.1</t>
        </is>
      </c>
      <c r="E123" s="16" t="inlineStr">
        <is>
          <t>신뢰 가장 출력</t>
        </is>
      </c>
      <c r="F123" s="17" t="inlineStr">
        <is>
          <t>조작된 인용/출처 표기/근거 설명을 응답에 포함하여 공격자 정보(예: 송금 계좌)를 신뢰할 수 있는 답변으로 위장</t>
        </is>
      </c>
      <c r="G123" s="18" t="inlineStr">
        <is>
          <t>중</t>
        </is>
      </c>
      <c r="H123" s="18" t="inlineStr">
        <is>
          <t>중</t>
        </is>
      </c>
      <c r="I123" s="18">
        <f>IF(AND(G123="상",H123="상"),"매우 높음",IF(OR(AND(G123="상",H123="중"),AND(G123="중",H123="상")),"높음",IF(OR(AND(G123="중",H123="중"),AND(G123="상",H123="하"),AND(G123="하",H123="상")),"보통","낮음")))</f>
        <v/>
      </c>
      <c r="J123" s="17" t="inlineStr">
        <is>
          <t>개별 거래 단위 금전 피해</t>
        </is>
      </c>
      <c r="K123" s="19" t="inlineStr">
        <is>
          <t>실증·공개 취약점</t>
        </is>
      </c>
      <c r="L123" s="20" t="n">
        <v>0</v>
      </c>
      <c r="M123" s="17" t="inlineStr">
        <is>
          <t>방어 회피(Defense Evasion)</t>
        </is>
      </c>
      <c r="N123" s="21" t="inlineStr">
        <is>
          <t>T0067, T0067.000</t>
        </is>
      </c>
      <c r="O123" s="21" t="inlineStr">
        <is>
          <t>ASI09</t>
        </is>
      </c>
      <c r="P123" s="21" t="inlineStr">
        <is>
          <t>• [ATLAS CS0026·실증] 메일을 RAG로 수집하는 M365 Copilot을 조작해 송금 계좌 정보를 바꿔치기
• [ATLAS CS0041·실증] AI 코딩도구 규칙 파일에 보이지 않는 유니코드 지시를 숨겨 악성 코드 생성 유도
• [ATLAS CS0059·실증] EchoLeak: 메일 한 통으로 M365 Copilot이 사용자 조작 없이 기업 데이터 유출(제로클릭)</t>
        </is>
      </c>
      <c r="Q123" s="17" t="inlineStr">
        <is>
          <t>다단계 승인·위험 배지, 제안·근거 불변 로그, 인용 출처 검증 UI, 사용자 교육</t>
        </is>
      </c>
    </row>
    <row r="124" ht="63.75" customHeight="1">
      <c r="A124" s="48" t="inlineStr">
        <is>
          <t>D10. 사용자 기만 및 AI 거버넌스 미흡</t>
        </is>
      </c>
      <c r="B124" s="49" t="inlineStr">
        <is>
          <t>UT-34</t>
        </is>
      </c>
      <c r="C124" s="50" t="inlineStr">
        <is>
          <t>인간-에이전트 신뢰 악용</t>
        </is>
      </c>
      <c r="D124" s="15" t="inlineStr">
        <is>
          <t>UT-34.2</t>
        </is>
      </c>
      <c r="E124" s="16" t="inlineStr">
        <is>
          <t>에이전트 경유 사회공학</t>
        </is>
      </c>
      <c r="F124" s="17" t="inlineStr">
        <is>
          <t>인젝션된 에이전트가 신뢰받는 지원 역할을 이용해 사용자에게 자격증명 입력, 송금, 보안 설정 변경을 유도</t>
        </is>
      </c>
      <c r="G124" s="18" t="inlineStr">
        <is>
          <t>중</t>
        </is>
      </c>
      <c r="H124" s="18" t="inlineStr">
        <is>
          <t>중</t>
        </is>
      </c>
      <c r="I124" s="18">
        <f>IF(AND(G124="상",H124="상"),"매우 높음",IF(OR(AND(G124="상",H124="중"),AND(G124="중",H124="상")),"높음",IF(OR(AND(G124="중",H124="중"),AND(G124="상",H124="하"),AND(G124="하",H124="상")),"보통","낮음")))</f>
        <v/>
      </c>
      <c r="J124" s="17" t="inlineStr">
        <is>
          <t>사용자 자격증명 및 송금 피해</t>
        </is>
      </c>
      <c r="K124" s="19" t="inlineStr">
        <is>
          <t>실증·공개 취약점</t>
        </is>
      </c>
      <c r="L124" s="20" t="n">
        <v>0</v>
      </c>
      <c r="M124" s="17" t="inlineStr">
        <is>
          <t>초기 접근(Initial Access)</t>
        </is>
      </c>
      <c r="N124" s="21" t="n"/>
      <c r="O124" s="21" t="inlineStr">
        <is>
          <t>ASI09</t>
        </is>
      </c>
      <c r="P124" s="21" t="inlineStr">
        <is>
          <t>• [ATLAS CS0020·실증] 웹페이지 숨은 지시로 Bing Chat이 사용자 개인정보를 캐내는 사회공학 수행
• [OWASP 시나리오] 인젝션된 IT 지원 에이전트의 신입 자격증명 요구, 오염 송장 기반 사기 송금 권고(ASI09 시나리오#2·#3)</t>
        </is>
      </c>
      <c r="Q124" s="17" t="inlineStr">
        <is>
          <t>다단계 승인·위험 배지, 제안·근거 불변 로그, 인용 출처 검증 UI, 사용자 교육</t>
        </is>
      </c>
    </row>
    <row r="125" ht="63.75" customHeight="1">
      <c r="A125" s="48" t="inlineStr">
        <is>
          <t>D10. 사용자 기만 및 AI 거버넌스 미흡</t>
        </is>
      </c>
      <c r="B125" s="49" t="inlineStr">
        <is>
          <t>UT-34</t>
        </is>
      </c>
      <c r="C125" s="50" t="inlineStr">
        <is>
          <t>인간-에이전트 신뢰 악용</t>
        </is>
      </c>
      <c r="D125" s="15" t="inlineStr">
        <is>
          <t>UT-34.3</t>
        </is>
      </c>
      <c r="E125" s="16" t="inlineStr">
        <is>
          <t>승인 피로 악용</t>
        </is>
      </c>
      <c r="F125" s="17" t="inlineStr">
        <is>
          <t>빈번한 승인 요청과 그럴듯하게 날조된 근거로 승인자의 검토를 형식화시켜 위험한 변경과 조치를 사람 승인 하에 실행</t>
        </is>
      </c>
      <c r="G125" s="18" t="inlineStr">
        <is>
          <t>중</t>
        </is>
      </c>
      <c r="H125" s="18" t="inlineStr">
        <is>
          <t>중</t>
        </is>
      </c>
      <c r="I125" s="18">
        <f>IF(AND(G125="상",H125="상"),"매우 높음",IF(OR(AND(G125="상",H125="중"),AND(G125="중",H125="상")),"높음",IF(OR(AND(G125="중",H125="중"),AND(G125="상",H125="하"),AND(G125="하",H125="상")),"보통","낮음")))</f>
        <v/>
      </c>
      <c r="J125" s="17" t="inlineStr">
        <is>
          <t>형식적 승인 하의 위험 조치 실행</t>
        </is>
      </c>
      <c r="K125" s="19" t="inlineStr">
        <is>
          <t>실제 사고 확인</t>
        </is>
      </c>
      <c r="L125" s="20" t="n">
        <v>1</v>
      </c>
      <c r="M125" s="17" t="inlineStr">
        <is>
          <t>방어 회피(Defense Evasion)</t>
        </is>
      </c>
      <c r="N125" s="21" t="n"/>
      <c r="O125" s="21" t="inlineStr">
        <is>
          <t>ASI09</t>
        </is>
      </c>
      <c r="P125" s="21" t="inlineStr">
        <is>
          <t>• [OWASP 인용] Replit 에이전트의 결과 은폐 및 허위 보고(2025.07)
• [OWASP 시나리오] 날조된 감사 근거로 위험 설정 변경 승인 획득(ASI09 시나리오#4)</t>
        </is>
      </c>
      <c r="Q125" s="17" t="inlineStr">
        <is>
          <t>다단계 승인·위험 배지, 제안·근거 불변 로그, 인용 출처 검증 UI, 사용자 교육</t>
        </is>
      </c>
    </row>
    <row r="126" ht="63.75" customHeight="1">
      <c r="A126" s="48" t="inlineStr">
        <is>
          <t>D10. 사용자 기만 및 AI 거버넌스 미흡</t>
        </is>
      </c>
      <c r="B126" s="49" t="inlineStr">
        <is>
          <t>UT-35</t>
        </is>
      </c>
      <c r="C126" s="48" t="inlineStr">
        <is>
          <t>AI 활동 감사 부재</t>
        </is>
      </c>
      <c r="D126" s="15" t="inlineStr">
        <is>
          <t>UT-35.1</t>
        </is>
      </c>
      <c r="E126" s="16" t="inlineStr">
        <is>
          <t>행위 기록 부재</t>
        </is>
      </c>
      <c r="F126" s="17" t="inlineStr">
        <is>
          <t>도구 호출/컨텍스트 변경/에이전트 의사결정 근거가 기록되지 않아 사고 탐지, 원인 분석, 책임 규명 불가</t>
        </is>
      </c>
      <c r="G126" s="18" t="inlineStr">
        <is>
          <t>하</t>
        </is>
      </c>
      <c r="H126" s="18" t="inlineStr">
        <is>
          <t>중</t>
        </is>
      </c>
      <c r="I126" s="18">
        <f>IF(AND(G126="상",H126="상"),"매우 높음",IF(OR(AND(G126="상",H126="중"),AND(G126="중",H126="상")),"높음",IF(OR(AND(G126="중",H126="중"),AND(G126="상",H126="하"),AND(G126="하",H126="상")),"보통","낮음")))</f>
        <v/>
      </c>
      <c r="J126" s="17" t="inlineStr">
        <is>
          <t>사고 대응 지연(간접 피해 확대)</t>
        </is>
      </c>
      <c r="K126" s="19" t="inlineStr">
        <is>
          <t>이론·시나리오</t>
        </is>
      </c>
      <c r="L126" s="20" t="n">
        <v>0</v>
      </c>
      <c r="M126" s="17" t="inlineStr">
        <is>
          <t>해당 없음(구조적 결함)</t>
        </is>
      </c>
      <c r="N126" s="21" t="n"/>
      <c r="O126" s="21" t="inlineStr">
        <is>
          <t>MCP08</t>
        </is>
      </c>
      <c r="P126" s="21" t="inlineStr">
        <is>
          <t>• [OWASP 시나리오] MCP 서버·에이전트의 원격 측정 부족으로 조사·대응 지연(MCP08 개요)</t>
        </is>
      </c>
      <c r="Q126" s="21" t="inlineStr">
        <is>
          <t>AI 텔레메트리 로깅(민감정보 마스킹 병행), 변조방지 감사로그, 계보·결정 근거 기록</t>
        </is>
      </c>
    </row>
    <row r="127" ht="63.75" customHeight="1">
      <c r="A127" s="48" t="inlineStr">
        <is>
          <t>D10. 사용자 기만 및 AI 거버넌스 미흡</t>
        </is>
      </c>
      <c r="B127" s="49" t="inlineStr">
        <is>
          <t>UT-35</t>
        </is>
      </c>
      <c r="C127" s="48" t="inlineStr">
        <is>
          <t>AI 활동 감사 부재</t>
        </is>
      </c>
      <c r="D127" s="15" t="inlineStr">
        <is>
          <t>UT-35.2</t>
        </is>
      </c>
      <c r="E127" s="16" t="inlineStr">
        <is>
          <t>로그 무결성 부재</t>
        </is>
      </c>
      <c r="F127" s="17" t="inlineStr">
        <is>
          <t>로그가 변조 가능한 저장소에 보관되거나 에이전트가 자신의 로그를 수정할 수 있어 공격 흔적 삭제 및 행위 부인 가능</t>
        </is>
      </c>
      <c r="G127" s="18" t="inlineStr">
        <is>
          <t>하</t>
        </is>
      </c>
      <c r="H127" s="18" t="inlineStr">
        <is>
          <t>중</t>
        </is>
      </c>
      <c r="I127" s="18">
        <f>IF(AND(G127="상",H127="상"),"매우 높음",IF(OR(AND(G127="상",H127="중"),AND(G127="중",H127="상")),"높음",IF(OR(AND(G127="중",H127="중"),AND(G127="상",H127="하"),AND(G127="하",H127="상")),"보통","낮음")))</f>
        <v/>
      </c>
      <c r="J127" s="17" t="inlineStr">
        <is>
          <t>흔적 삭제 및 행위 부인 가능</t>
        </is>
      </c>
      <c r="K127" s="19" t="inlineStr">
        <is>
          <t>이론·시나리오</t>
        </is>
      </c>
      <c r="L127" s="20" t="n">
        <v>0</v>
      </c>
      <c r="M127" s="17" t="inlineStr">
        <is>
          <t>해당 없음(구조적 결함)</t>
        </is>
      </c>
      <c r="N127" s="21" t="n"/>
      <c r="O127" s="21" t="inlineStr">
        <is>
          <t>MCP08</t>
        </is>
      </c>
      <c r="P127" s="21" t="inlineStr">
        <is>
          <t>• [OWASP 시나리오] 불변 감사 로그 부재 시 에이전트 행위의 부인·추적 불능(ASI 위협 T8 Repudiation)</t>
        </is>
      </c>
      <c r="Q127" s="21" t="inlineStr">
        <is>
          <t>AI 텔레메트리 로깅(민감정보 마스킹 병행), 변조방지 감사로그, 계보·결정 근거 기록</t>
        </is>
      </c>
    </row>
    <row r="128" ht="63.75" customHeight="1">
      <c r="A128" s="48" t="inlineStr">
        <is>
          <t>D10. 사용자 기만 및 AI 거버넌스 미흡</t>
        </is>
      </c>
      <c r="B128" s="49" t="inlineStr">
        <is>
          <t>UT-36</t>
        </is>
      </c>
      <c r="C128" s="50" t="inlineStr">
        <is>
          <t>데이터 수명주기 관리 실패</t>
        </is>
      </c>
      <c r="D128" s="15" t="inlineStr">
        <is>
          <t>UT-36.1</t>
        </is>
      </c>
      <c r="E128" s="16" t="inlineStr">
        <is>
          <t>파생물 분류 미전파</t>
        </is>
      </c>
      <c r="F128" s="17" t="inlineStr">
        <is>
          <t>원본 데이터의 분류/보존 정책이 임베딩, 파인튜닝 가중치, 캐시 등 파생물로 전파되지 않아 민감 데이터가 정책 밖에서 장기 보존 및 활용</t>
        </is>
      </c>
      <c r="G128" s="18" t="inlineStr">
        <is>
          <t>하</t>
        </is>
      </c>
      <c r="H128" s="18" t="inlineStr">
        <is>
          <t>중</t>
        </is>
      </c>
      <c r="I128" s="18">
        <f>IF(AND(G128="상",H128="상"),"매우 높음",IF(OR(AND(G128="상",H128="중"),AND(G128="중",H128="상")),"높음",IF(OR(AND(G128="중",H128="중"),AND(G128="상",H128="하"),AND(G128="하",H128="상")),"보통","낮음")))</f>
        <v/>
      </c>
      <c r="J128" s="17" t="inlineStr">
        <is>
          <t>정책 밖 민감 데이터 장기 보존</t>
        </is>
      </c>
      <c r="K128" s="19" t="inlineStr">
        <is>
          <t>이론·시나리오</t>
        </is>
      </c>
      <c r="L128" s="20" t="n">
        <v>0</v>
      </c>
      <c r="M128" s="17" t="inlineStr">
        <is>
          <t>해당 없음(구조적 결함)</t>
        </is>
      </c>
      <c r="N128" s="21" t="n"/>
      <c r="O128" s="21" t="inlineStr">
        <is>
          <t>DSGAI07</t>
        </is>
      </c>
      <c r="P128" s="21" t="inlineStr">
        <is>
          <t>• [OWASP 시나리오] 분류 라벨이 원본에서 멈추고 임베딩·백업·가중치로 전파되지 않음(DSGAI07)</t>
        </is>
      </c>
      <c r="Q128" s="17" t="inlineStr">
        <is>
          <t>데이터→모델 계보, 파생물까지 분류·보존·삭제 정책 전파, 폐기 증적, DPIA, 재식별 위험 평가</t>
        </is>
      </c>
    </row>
    <row r="129" ht="63.75" customHeight="1">
      <c r="A129" s="48" t="inlineStr">
        <is>
          <t>D10. 사용자 기만 및 AI 거버넌스 미흡</t>
        </is>
      </c>
      <c r="B129" s="49" t="inlineStr">
        <is>
          <t>UT-36</t>
        </is>
      </c>
      <c r="C129" s="50" t="inlineStr">
        <is>
          <t>데이터 수명주기 관리 실패</t>
        </is>
      </c>
      <c r="D129" s="15" t="inlineStr">
        <is>
          <t>UT-36.2</t>
        </is>
      </c>
      <c r="E129" s="16" t="inlineStr">
        <is>
          <t>삭제권 이행 불가</t>
        </is>
      </c>
      <c r="F129" s="17" t="inlineStr">
        <is>
          <t>정보주체 삭제 요청 시 원본만 삭제되고 모델 가중치/벡터 색인에 데이터가 잔존하여 법적 삭제 의무(예: GDPR 제17조) 위반</t>
        </is>
      </c>
      <c r="G129" s="18" t="inlineStr">
        <is>
          <t>하</t>
        </is>
      </c>
      <c r="H129" s="18" t="inlineStr">
        <is>
          <t>중</t>
        </is>
      </c>
      <c r="I129" s="18">
        <f>IF(AND(G129="상",H129="상"),"매우 높음",IF(OR(AND(G129="상",H129="중"),AND(G129="중",H129="상")),"높음",IF(OR(AND(G129="중",H129="중"),AND(G129="상",H129="하"),AND(G129="하",H129="상")),"보통","낮음")))</f>
        <v/>
      </c>
      <c r="J129" s="17" t="inlineStr">
        <is>
          <t>법적 삭제 의무 위반(규제 제재)</t>
        </is>
      </c>
      <c r="K129" s="19" t="inlineStr">
        <is>
          <t>이론·시나리오</t>
        </is>
      </c>
      <c r="L129" s="20" t="n">
        <v>0</v>
      </c>
      <c r="M129" s="17" t="inlineStr">
        <is>
          <t>해당 없음(구조적 결함)</t>
        </is>
      </c>
      <c r="N129" s="21" t="n"/>
      <c r="O129" s="21" t="inlineStr">
        <is>
          <t>DSGAI08</t>
        </is>
      </c>
      <c r="P129" s="21" t="inlineStr">
        <is>
          <t>• [OWASP 시나리오] GDPR 제17조 삭제 요청 후에도 모델 가중치에 데이터 잔존(DSGAI08 시나리오)</t>
        </is>
      </c>
      <c r="Q129" s="17" t="inlineStr">
        <is>
          <t>데이터→모델 계보, 파생물까지 분류·보존·삭제 정책 전파, 폐기 증적, DPIA, 재식별 위험 평가</t>
        </is>
      </c>
    </row>
    <row r="130" ht="63.75" customHeight="1">
      <c r="A130" s="48" t="inlineStr">
        <is>
          <t>D10. 사용자 기만 및 AI 거버넌스 미흡</t>
        </is>
      </c>
      <c r="B130" s="49" t="inlineStr">
        <is>
          <t>UT-36</t>
        </is>
      </c>
      <c r="C130" s="50" t="inlineStr">
        <is>
          <t>데이터 수명주기 관리 실패</t>
        </is>
      </c>
      <c r="D130" s="15" t="inlineStr">
        <is>
          <t>UT-36.3</t>
        </is>
      </c>
      <c r="E130" s="16" t="inlineStr">
        <is>
          <t>비식별 데이터 재식별</t>
        </is>
      </c>
      <c r="F130" s="17" t="inlineStr">
        <is>
          <t>비식별/합성 데이터에 남은 희귀 준식별자 조합을 결합 분석하여 개인을 재식별하고, 해당 데이터로 학습한 모델을 통해 노출</t>
        </is>
      </c>
      <c r="G130" s="18" t="inlineStr">
        <is>
          <t>하</t>
        </is>
      </c>
      <c r="H130" s="18" t="inlineStr">
        <is>
          <t>중</t>
        </is>
      </c>
      <c r="I130" s="18">
        <f>IF(AND(G130="상",H130="상"),"매우 높음",IF(OR(AND(G130="상",H130="중"),AND(G130="중",H130="상")),"높음",IF(OR(AND(G130="중",H130="중"),AND(G130="상",H130="하"),AND(G130="하",H130="상")),"보통","낮음")))</f>
        <v/>
      </c>
      <c r="J130" s="17" t="inlineStr">
        <is>
          <t>개인 재식별에 따른 프라이버시 침해</t>
        </is>
      </c>
      <c r="K130" s="19" t="inlineStr">
        <is>
          <t>이론·시나리오</t>
        </is>
      </c>
      <c r="L130" s="20" t="n">
        <v>0</v>
      </c>
      <c r="M130" s="17" t="inlineStr">
        <is>
          <t>해당 없음(구조적 결함)</t>
        </is>
      </c>
      <c r="N130" s="21" t="n"/>
      <c r="O130" s="21" t="inlineStr">
        <is>
          <t>DSGAI10</t>
        </is>
      </c>
      <c r="P130" s="21" t="inlineStr">
        <is>
          <t>• [OWASP 시나리오] '비식별' 데이터로 파인튜닝한 임상 LLM에서 희귀 준식별자 조합으로 재식별(DSGAI10 시나리오)</t>
        </is>
      </c>
      <c r="Q130" s="17" t="inlineStr">
        <is>
          <t>데이터→모델 계보, 파생물까지 분류·보존·삭제 정책 전파, 폐기 증적, DPIA, 재식별 위험 평가</t>
        </is>
      </c>
    </row>
    <row r="131" ht="63.75" customHeight="1">
      <c r="A131" s="48" t="inlineStr">
        <is>
          <t>D10. 사용자 기만 및 AI 거버넌스 미흡</t>
        </is>
      </c>
      <c r="B131" s="49" t="inlineStr">
        <is>
          <t>UT-36</t>
        </is>
      </c>
      <c r="C131" s="50" t="inlineStr">
        <is>
          <t>데이터 수명주기 관리 실패</t>
        </is>
      </c>
      <c r="D131" s="15" t="inlineStr">
        <is>
          <t>UT-36.4</t>
        </is>
      </c>
      <c r="E131" s="16" t="inlineStr">
        <is>
          <t>폐기 후 데이터 잔존</t>
        </is>
      </c>
      <c r="F131" s="17" t="inlineStr">
        <is>
          <t>자산 폐기 이후에도 백업, 복제본, 장애조치용 스냅샷에 삭제 대상 데이터가 남아 복구 및 장애 전환 시 재노출</t>
        </is>
      </c>
      <c r="G131" s="18" t="inlineStr">
        <is>
          <t>하</t>
        </is>
      </c>
      <c r="H131" s="18" t="inlineStr">
        <is>
          <t>중</t>
        </is>
      </c>
      <c r="I131" s="18">
        <f>IF(AND(G131="상",H131="상"),"매우 높음",IF(OR(AND(G131="상",H131="중"),AND(G131="중",H131="상")),"높음",IF(OR(AND(G131="중",H131="중"),AND(G131="상",H131="하"),AND(G131="하",H131="상")),"보통","낮음")))</f>
        <v/>
      </c>
      <c r="J131" s="17" t="inlineStr">
        <is>
          <t>폐기 데이터 재노출</t>
        </is>
      </c>
      <c r="K131" s="19" t="inlineStr">
        <is>
          <t>이론·시나리오</t>
        </is>
      </c>
      <c r="L131" s="20" t="n">
        <v>0</v>
      </c>
      <c r="M131" s="17" t="inlineStr">
        <is>
          <t>해당 없음(구조적 결함)</t>
        </is>
      </c>
      <c r="N131" s="21" t="n"/>
      <c r="O131" s="21" t="inlineStr">
        <is>
          <t>DSGAI07</t>
        </is>
      </c>
      <c r="P131" s="21" t="inlineStr">
        <is>
          <t>• [OWASP 시나리오] 오래된 복제본 장애조치로 삭제 레코드가 재노출(DSGAI17 시나리오)</t>
        </is>
      </c>
      <c r="Q131" s="17" t="inlineStr">
        <is>
          <t>데이터→모델 계보, 파생물까지 분류·보존·삭제 정책 전파, 폐기 증적, DPIA, 재식별 위험 평가</t>
        </is>
      </c>
    </row>
  </sheetData>
  <autoFilter ref="A4:Q131"/>
  <mergeCells count="5">
    <mergeCell ref="P3"/>
    <mergeCell ref="Q3"/>
    <mergeCell ref="M3:O3"/>
    <mergeCell ref="G3:L3"/>
    <mergeCell ref="A3:F3"/>
  </mergeCells>
  <conditionalFormatting sqref="G5:G131">
    <cfRule type="cellIs" priority="1" operator="equal" dxfId="0">
      <formula>"상"</formula>
    </cfRule>
    <cfRule type="cellIs" priority="2" operator="equal" dxfId="1">
      <formula>"중"</formula>
    </cfRule>
    <cfRule type="cellIs" priority="3" operator="equal" dxfId="2">
      <formula>"하"</formula>
    </cfRule>
  </conditionalFormatting>
  <conditionalFormatting sqref="H5:H131">
    <cfRule type="cellIs" priority="4" operator="equal" dxfId="0">
      <formula>"상"</formula>
    </cfRule>
    <cfRule type="cellIs" priority="5" operator="equal" dxfId="1">
      <formula>"중"</formula>
    </cfRule>
    <cfRule type="cellIs" priority="6" operator="equal" dxfId="2">
      <formula>"하"</formula>
    </cfRule>
  </conditionalFormatting>
  <conditionalFormatting sqref="I5:I131">
    <cfRule type="cellIs" priority="7" operator="equal" dxfId="3">
      <formula>"매우 높음"</formula>
    </cfRule>
    <cfRule type="cellIs" priority="8" operator="equal" dxfId="4">
      <formula>"높음"</formula>
    </cfRule>
    <cfRule type="cellIs" priority="9" operator="equal" dxfId="5">
      <formula>"보통"</formula>
    </cfRule>
    <cfRule type="cellIs" priority="10" operator="equal" dxfId="6">
      <formula>"낮음"</formula>
    </cfRule>
  </conditionalFormatting>
  <conditionalFormatting sqref="K5:K131">
    <cfRule type="cellIs" priority="11" operator="equal" dxfId="0">
      <formula>"실제 사고 확인"</formula>
    </cfRule>
    <cfRule type="cellIs" priority="12" operator="equal" dxfId="7">
      <formula>"실사용 기법 포함"</formula>
    </cfRule>
    <cfRule type="cellIs" priority="13" operator="equal" dxfId="1">
      <formula>"실증·공개 취약점"</formula>
    </cfRule>
    <cfRule type="cellIs" priority="14" operator="equal" dxfId="8">
      <formula>"이론·시나리오"</formula>
    </cfRule>
  </conditionalFormatting>
  <dataValidations count="1">
    <dataValidation sqref="G5:H131" showDropDown="0" showInputMessage="0" showErrorMessage="0" allowBlank="0" type="list">
      <formula1>"상,중,하"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48" customWidth="1" min="3" max="3"/>
    <col width="40" customWidth="1" min="4" max="4"/>
    <col width="48" customWidth="1" min="5" max="5"/>
    <col width="8" customWidth="1" min="6" max="6"/>
    <col width="8" customWidth="1" min="7" max="7"/>
    <col width="14" customWidth="1" min="8" max="8"/>
  </cols>
  <sheetData>
    <row r="1">
      <c r="A1" s="1" t="inlineStr">
        <is>
          <t>분류 체계 정의와 위험 평가 기준</t>
        </is>
      </c>
    </row>
    <row r="3">
      <c r="A3" s="3" t="inlineStr">
        <is>
          <t>1. 3단 분류 체계</t>
        </is>
      </c>
    </row>
    <row r="4">
      <c r="A4" s="4" t="inlineStr">
        <is>
          <t>단계</t>
        </is>
      </c>
      <c r="B4" s="4" t="inlineStr">
        <is>
          <t>정의</t>
        </is>
      </c>
      <c r="C4" s="4" t="inlineStr">
        <is>
          <t>작성 규칙</t>
        </is>
      </c>
      <c r="D4" s="4" t="inlineStr">
        <is>
          <t>개수</t>
        </is>
      </c>
    </row>
    <row r="5">
      <c r="A5" s="5" t="inlineStr">
        <is>
          <t>Lv1 도메인</t>
        </is>
      </c>
      <c r="B5" s="5" t="inlineStr">
        <is>
          <t>영역별 보안 리스크(공격 흐름상 위협 행위자 영역을 D01로 배치)</t>
        </is>
      </c>
      <c r="C5" s="5" t="inlineStr">
        <is>
          <t>OWASP 위협·리스크 명명 규칙 준용: [영역] + [위협 명사], 대등한 두 위협만 '및'으로 결합 / 경계 판정 규칙은 아래 2번 표</t>
        </is>
      </c>
      <c r="D5" s="6">
        <f>SUMPRODUCT(1/COUNTIF(통합매트릭스!$A$5:$A$131,통합매트릭스!$A$5:$A$131))</f>
        <v/>
      </c>
    </row>
    <row r="6">
      <c r="A6" s="5" t="inlineStr">
        <is>
          <t>Lv2 위협 분류</t>
        </is>
      </c>
      <c r="B6" s="5" t="inlineStr">
        <is>
          <t>기존 통합 위협(UT). ID·도메인·크로스워크 체계 불변</t>
        </is>
      </c>
      <c r="C6" s="5" t="inlineStr">
        <is>
          <t>'·' 나열 없이 하나의 개념으로 명명</t>
        </is>
      </c>
      <c r="D6" s="6">
        <f>SUMPRODUCT(1/COUNTIF(통합매트릭스!$B$5:$B$131,통합매트릭스!$B$5:$B$131))</f>
        <v/>
      </c>
    </row>
    <row r="7">
      <c r="A7" s="5" t="inlineStr">
        <is>
          <t>Lv3 세부 위협</t>
        </is>
      </c>
      <c r="B7" s="5" t="inlineStr">
        <is>
          <t>Lv2 안에서 공격 경로 또는 발생 원리가 독립된 위협</t>
        </is>
      </c>
      <c r="C7" s="5" t="inlineStr">
        <is>
          <t>① 독립 메커니즘 ② 근거 1개 이상(ATLAS 기법·OWASP 예시·사례) ③ 공격 단계·생애주기·통제 중 하나 이상 구별 / 설명은 '수단→행위→결과' 명사형 종결</t>
        </is>
      </c>
      <c r="D7" s="6">
        <f>COUNTA(통합매트릭스!$D$5:$D$131)</f>
        <v/>
      </c>
    </row>
    <row r="9">
      <c r="A9" s="3" t="inlineStr">
        <is>
          <t>2. Lv1 도메인 정의</t>
        </is>
      </c>
    </row>
    <row r="10">
      <c r="A10" s="4" t="inlineStr">
        <is>
          <t>도메인</t>
        </is>
      </c>
      <c r="B10" s="4" t="inlineStr">
        <is>
          <t>영문명</t>
        </is>
      </c>
      <c r="C10" s="4" t="inlineStr">
        <is>
          <t>리스크 정의</t>
        </is>
      </c>
      <c r="D10" s="4" t="inlineStr">
        <is>
          <t>주요 대상 영역</t>
        </is>
      </c>
      <c r="E10" s="4" t="inlineStr">
        <is>
          <t>경계 판정 규칙</t>
        </is>
      </c>
      <c r="F10" s="4" t="inlineStr">
        <is>
          <t>Lv2 수</t>
        </is>
      </c>
      <c r="G10" s="4" t="inlineStr">
        <is>
          <t>Lv3 수</t>
        </is>
      </c>
      <c r="H10" s="4" t="inlineStr">
        <is>
          <t>위험도 '매우 높음'·'높음' Lv3</t>
        </is>
      </c>
    </row>
    <row r="11">
      <c r="A11" s="5" t="inlineStr">
        <is>
          <t>D01. 공격 준비 및 AI 무기화</t>
        </is>
      </c>
      <c r="B11" s="5" t="inlineStr">
        <is>
          <t>Attack Preparation &amp; AI Weaponization</t>
        </is>
      </c>
      <c r="C11" s="5" t="inlineStr">
        <is>
          <t>위협 행위자가 AI 자산을 정찰하고 공격 역량을 확보하거나, AI를 공격 수단으로 활용하여 자율 공격, 기만, 은닉 통신을 수행하는 리스크</t>
        </is>
      </c>
      <c r="D11" s="5" t="inlineStr">
        <is>
          <t>공개 정보, 공격 도구와 인프라, 공격자 AI 에이전트, 딥페이크, 제3자 AI 서비스</t>
        </is>
      </c>
      <c r="E11" s="5" t="inlineStr">
        <is>
          <t>위협 행위자 소유 자산 또는 조직 외부 활동이면 D01. 조직 자산이 직접 훼손되면 해당 영역 도메인으로 분류</t>
        </is>
      </c>
      <c r="F11" s="6">
        <f>SUMPRODUCT((통합매트릭스!$A$5:$A$131=A11)/COUNTIFS(통합매트릭스!$A$5:$A$131,통합매트릭스!$A$5:$A$131,통합매트릭스!$B$5:$B$131,통합매트릭스!$B$5:$B$131))</f>
        <v/>
      </c>
      <c r="G11" s="6">
        <f>COUNTIF(통합매트릭스!$A$5:$A$131,A11)</f>
        <v/>
      </c>
      <c r="H11" s="6">
        <f>COUNTIFS(통합매트릭스!$A$5:$A$131,A11,통합매트릭스!$I$5:$I$131,"매우 높음")+COUNTIFS(통합매트릭스!$A$5:$A$131,A11,통합매트릭스!$I$5:$I$131,"높음")</f>
        <v/>
      </c>
    </row>
    <row r="12">
      <c r="A12" s="5" t="inlineStr">
        <is>
          <t>D02. 프롬프트 인젝션 및 컨텍스트 노출</t>
        </is>
      </c>
      <c r="B12" s="5" t="inlineStr">
        <is>
          <t>Prompt Injection &amp; Context Exposure</t>
        </is>
      </c>
      <c r="C12" s="5" t="inlineStr">
        <is>
          <t>사용자 입력이나 외부 콘텐츠에 삽입된 조작 지시로 모델 동작이 탈취되거나, 시스템 프롬프트 등 비공개 컨텍스트가 노출되는 리스크</t>
        </is>
      </c>
      <c r="D12" s="5" t="inlineStr">
        <is>
          <t>사용자 입력, 외부 콘텐츠와 도구 응답(지시 전달 경로), 시스템 프롬프트, 에이전트 구성 정보</t>
        </is>
      </c>
      <c r="E12" s="5" t="inlineStr">
        <is>
          <t>지시가 모델에 도달하는 경로가 핵심이면 D02. 지시가 저장소에 지속 기록되면 D03</t>
        </is>
      </c>
      <c r="F12" s="6">
        <f>SUMPRODUCT((통합매트릭스!$A$5:$A$131=A12)/COUNTIFS(통합매트릭스!$A$5:$A$131,통합매트릭스!$A$5:$A$131,통합매트릭스!$B$5:$B$131,통합매트릭스!$B$5:$B$131))</f>
        <v/>
      </c>
      <c r="G12" s="6">
        <f>COUNTIF(통합매트릭스!$A$5:$A$131,A12)</f>
        <v/>
      </c>
      <c r="H12" s="6">
        <f>COUNTIFS(통합매트릭스!$A$5:$A$131,A12,통합매트릭스!$I$5:$I$131,"매우 높음")+COUNTIFS(통합매트릭스!$A$5:$A$131,A12,통합매트릭스!$I$5:$I$131,"높음")</f>
        <v/>
      </c>
    </row>
    <row r="13">
      <c r="A13" s="5" t="inlineStr">
        <is>
          <t>D03. AI 데이터 오염 및 유출</t>
        </is>
      </c>
      <c r="B13" s="5" t="inlineStr">
        <is>
          <t>AI Data Poisoning &amp; Leakage</t>
        </is>
      </c>
      <c r="C13" s="5" t="inlineStr">
        <is>
          <t>학습 데이터, RAG 지식원, 에이전트 메모리가 오염되거나, 민감정보가 응답과 입력 경로 또는 사용자 간 격리 결함을 통해 유출되는 리스크</t>
        </is>
      </c>
      <c r="D13" s="5" t="inlineStr">
        <is>
          <t>학습 및 파인튜닝 데이터, RAG 코퍼스와 임베딩, 벡터 DB, 에이전트 메모리와 대화 이력</t>
        </is>
      </c>
      <c r="E13" s="5" t="inlineStr">
        <is>
          <t>데이터가 저장되거나 색인되는 지점의 리스크면 D03. 모델 가중치 자체의 변조는 D04</t>
        </is>
      </c>
      <c r="F13" s="6">
        <f>SUMPRODUCT((통합매트릭스!$A$5:$A$131=A13)/COUNTIFS(통합매트릭스!$A$5:$A$131,통합매트릭스!$A$5:$A$131,통합매트릭스!$B$5:$B$131,통합매트릭스!$B$5:$B$131))</f>
        <v/>
      </c>
      <c r="G13" s="6">
        <f>COUNTIF(통합매트릭스!$A$5:$A$131,A13)</f>
        <v/>
      </c>
      <c r="H13" s="6">
        <f>COUNTIFS(통합매트릭스!$A$5:$A$131,A13,통합매트릭스!$I$5:$I$131,"매우 높음")+COUNTIFS(통합매트릭스!$A$5:$A$131,A13,통합매트릭스!$I$5:$I$131,"높음")</f>
        <v/>
      </c>
    </row>
    <row r="14">
      <c r="A14" s="5" t="inlineStr">
        <is>
          <t>D04. 모델 조작 및 탈취</t>
        </is>
      </c>
      <c r="B14" s="5" t="inlineStr">
        <is>
          <t>Model Manipulation &amp; Theft</t>
        </is>
      </c>
      <c r="C14" s="5" t="inlineStr">
        <is>
          <t>모델 가중치와 구조가 변조되거나 적대적 입력에 의해 판단이 조작되고, 모델 자산 또는 학습 데이터가 질의와 파일 탈취로 유출되는 리스크</t>
        </is>
      </c>
      <c r="D14" s="5" t="inlineStr">
        <is>
          <t>모델 가중치와 아키텍처, 추론 템플릿, 추론 API, 예측 모델</t>
        </is>
      </c>
      <c r="E14" s="5" t="inlineStr">
        <is>
          <t>모델 파일, 가중치, 추론 동작이 공격 대상이면 D04</t>
        </is>
      </c>
      <c r="F14" s="6">
        <f>SUMPRODUCT((통합매트릭스!$A$5:$A$131=A14)/COUNTIFS(통합매트릭스!$A$5:$A$131,통합매트릭스!$A$5:$A$131,통합매트릭스!$B$5:$B$131,통합매트릭스!$B$5:$B$131))</f>
        <v/>
      </c>
      <c r="G14" s="6">
        <f>COUNTIF(통합매트릭스!$A$5:$A$131,A14)</f>
        <v/>
      </c>
      <c r="H14" s="6">
        <f>COUNTIFS(통합매트릭스!$A$5:$A$131,A14,통합매트릭스!$I$5:$I$131,"매우 높음")+COUNTIFS(통합매트릭스!$A$5:$A$131,A14,통합매트릭스!$I$5:$I$131,"높음")</f>
        <v/>
      </c>
    </row>
    <row r="15">
      <c r="A15" s="5" t="inlineStr">
        <is>
          <t>D05. 출력 처리 결함 및 신뢰성 훼손</t>
        </is>
      </c>
      <c r="B15" s="5" t="inlineStr">
        <is>
          <t>Output Handling Flaws &amp; Integrity Loss</t>
        </is>
      </c>
      <c r="C15" s="5" t="inlineStr">
        <is>
          <t>모델 출력이 검증 없이 후속 시스템에서 해석되거나 반출 경로로 악용되고, 허위 또는 편향된 출력이 업무 판단에 채택되는 리스크</t>
        </is>
      </c>
      <c r="D15" s="5" t="inlineStr">
        <is>
          <t>출력 렌더링 환경(브라우저, 터미널, IDE), 출력 기반 DB 질의, 출력 채널</t>
        </is>
      </c>
      <c r="E15" s="5" t="inlineStr">
        <is>
          <t>출력의 검증, 신뢰성, 반출 채널 문제면 D05. 출력이 도구 호출이나 코드 실행으로 이어지면 D06</t>
        </is>
      </c>
      <c r="F15" s="6">
        <f>SUMPRODUCT((통합매트릭스!$A$5:$A$131=A15)/COUNTIFS(통합매트릭스!$A$5:$A$131,통합매트릭스!$A$5:$A$131,통합매트릭스!$B$5:$B$131,통합매트릭스!$B$5:$B$131))</f>
        <v/>
      </c>
      <c r="G15" s="6">
        <f>COUNTIF(통합매트릭스!$A$5:$A$131,A15)</f>
        <v/>
      </c>
      <c r="H15" s="6">
        <f>COUNTIFS(통합매트릭스!$A$5:$A$131,A15,통합매트릭스!$I$5:$I$131,"매우 높음")+COUNTIFS(통합매트릭스!$A$5:$A$131,A15,통합매트릭스!$I$5:$I$131,"높음")</f>
        <v/>
      </c>
    </row>
    <row r="16">
      <c r="A16" s="5" t="inlineStr">
        <is>
          <t>D06. 에이전트 오남용 및 통제 상실</t>
        </is>
      </c>
      <c r="B16" s="5" t="inlineStr">
        <is>
          <t>Agent Misuse &amp; Loss of Control</t>
        </is>
      </c>
      <c r="C16" s="5" t="inlineStr">
        <is>
          <t>과도한 권한을 가진 에이전트가 도구와 코드를 위험하게 실행하거나, 다중 에이전트 간 오류 전파와 이상 행동으로 조직의 통제를 상실하는 리스크</t>
        </is>
      </c>
      <c r="D16" s="5" t="inlineStr">
        <is>
          <t>에이전트 도구 권한, 계획 및 실행 루프, 코드 실행 환경, 다중 에이전트 워크플로</t>
        </is>
      </c>
      <c r="E16" s="5" t="inlineStr">
        <is>
          <t>에이전트가 무엇을 잘못 실행하는가의 문제면 D06. 누구의 신원과 권한이 악용되는가의 문제면 D07</t>
        </is>
      </c>
      <c r="F16" s="6">
        <f>SUMPRODUCT((통합매트릭스!$A$5:$A$131=A16)/COUNTIFS(통합매트릭스!$A$5:$A$131,통합매트릭스!$A$5:$A$131,통합매트릭스!$B$5:$B$131,통합매트릭스!$B$5:$B$131))</f>
        <v/>
      </c>
      <c r="G16" s="6">
        <f>COUNTIF(통합매트릭스!$A$5:$A$131,A16)</f>
        <v/>
      </c>
      <c r="H16" s="6">
        <f>COUNTIFS(통합매트릭스!$A$5:$A$131,A16,통합매트릭스!$I$5:$I$131,"매우 높음")+COUNTIFS(통합매트릭스!$A$5:$A$131,A16,통합매트릭스!$I$5:$I$131,"높음")</f>
        <v/>
      </c>
    </row>
    <row r="17">
      <c r="A17" s="5" t="inlineStr">
        <is>
          <t>D07. AI 신원 및 권한 악용</t>
        </is>
      </c>
      <c r="B17" s="5" t="inlineStr">
        <is>
          <t>AI Identity &amp; Privilege Abuse</t>
        </is>
      </c>
      <c r="C17" s="5" t="inlineStr">
        <is>
          <t>에이전트와 비인간 계정의 자격증명이 탈취되거나, 권한 위임 결함과 에이전트 간 통신 위조로 권한이 악용되는 리스크</t>
        </is>
      </c>
      <c r="D17" s="5" t="inlineStr">
        <is>
          <t>API 키와 토큰, OAuth 위임, 에이전트 신원, 에이전트 간(A2A, MCP) 메시지</t>
        </is>
      </c>
      <c r="E17" s="5" t="inlineStr">
        <is>
          <t>누구의 신원과 권한으로 행위가 이루어지는가의 문제면 D07</t>
        </is>
      </c>
      <c r="F17" s="6">
        <f>SUMPRODUCT((통합매트릭스!$A$5:$A$131=A17)/COUNTIFS(통합매트릭스!$A$5:$A$131,통합매트릭스!$A$5:$A$131,통합매트릭스!$B$5:$B$131,통합매트릭스!$B$5:$B$131))</f>
        <v/>
      </c>
      <c r="G17" s="6">
        <f>COUNTIF(통합매트릭스!$A$5:$A$131,A17)</f>
        <v/>
      </c>
      <c r="H17" s="6">
        <f>COUNTIFS(통합매트릭스!$A$5:$A$131,A17,통합매트릭스!$I$5:$I$131,"매우 높음")+COUNTIFS(통합매트릭스!$A$5:$A$131,A17,통합매트릭스!$I$5:$I$131,"높음")</f>
        <v/>
      </c>
    </row>
    <row r="18">
      <c r="A18" s="5" t="inlineStr">
        <is>
          <t>D08. AI 공급망 침해</t>
        </is>
      </c>
      <c r="B18" s="5" t="inlineStr">
        <is>
          <t>AI Supply Chain Compromise</t>
        </is>
      </c>
      <c r="C18" s="5" t="inlineStr">
        <is>
          <t>외부에서 도입하는 모델, 데이터셋, 패키지, 에이전트 도구가 오염되거나 위장되어 조직 환경에 악성 요소가 유입되는 리스크</t>
        </is>
      </c>
      <c r="D18" s="5" t="inlineStr">
        <is>
          <t>모델 허브, 패키지 레지스트리, MCP 서버, 플러그인 및 스킬 레지스트리</t>
        </is>
      </c>
      <c r="E18" s="5" t="inlineStr">
        <is>
          <t>제3자 구성요소가 유입 경로면 D08. 조직 내부 데이터 소스의 오염은 D03</t>
        </is>
      </c>
      <c r="F18" s="6">
        <f>SUMPRODUCT((통합매트릭스!$A$5:$A$131=A18)/COUNTIFS(통합매트릭스!$A$5:$A$131,통합매트릭스!$A$5:$A$131,통합매트릭스!$B$5:$B$131,통합매트릭스!$B$5:$B$131))</f>
        <v/>
      </c>
      <c r="G18" s="6">
        <f>COUNTIF(통합매트릭스!$A$5:$A$131,A18)</f>
        <v/>
      </c>
      <c r="H18" s="6">
        <f>COUNTIFS(통합매트릭스!$A$5:$A$131,A18,통합매트릭스!$I$5:$I$131,"매우 높음")+COUNTIFS(통합매트릭스!$A$5:$A$131,A18,통합매트릭스!$I$5:$I$131,"높음")</f>
        <v/>
      </c>
    </row>
    <row r="19">
      <c r="A19" s="5" t="inlineStr">
        <is>
          <t>D09. AI 인프라 노출 및 자원 고갈</t>
        </is>
      </c>
      <c r="B19" s="5" t="inlineStr">
        <is>
          <t>AI Infrastructure Exposure &amp; Resource Exhaustion</t>
        </is>
      </c>
      <c r="C19" s="5" t="inlineStr">
        <is>
          <t>AI 서비스와 인프라가 통제 밖에서 외부에 노출되거나 운영 데이터 경로로 정보가 새어 나가고, 자원 고갈로 가용성과 비용 피해가 발생하는 리스크</t>
        </is>
      </c>
      <c r="D19" s="5" t="inlineStr">
        <is>
          <t>서빙 인프라, 외부 노출 서비스, 사용자 단말의 AI 어시스턴트, 관측성 도구와 라벨링 경로</t>
        </is>
      </c>
      <c r="E19" s="5" t="inlineStr">
        <is>
          <t>인프라 구성과 운영 방식이 원인이면 D09</t>
        </is>
      </c>
      <c r="F19" s="6">
        <f>SUMPRODUCT((통합매트릭스!$A$5:$A$131=A19)/COUNTIFS(통합매트릭스!$A$5:$A$131,통합매트릭스!$A$5:$A$131,통합매트릭스!$B$5:$B$131,통합매트릭스!$B$5:$B$131))</f>
        <v/>
      </c>
      <c r="G19" s="6">
        <f>COUNTIF(통합매트릭스!$A$5:$A$131,A19)</f>
        <v/>
      </c>
      <c r="H19" s="6">
        <f>COUNTIFS(통합매트릭스!$A$5:$A$131,A19,통합매트릭스!$I$5:$I$131,"매우 높음")+COUNTIFS(통합매트릭스!$A$5:$A$131,A19,통합매트릭스!$I$5:$I$131,"높음")</f>
        <v/>
      </c>
    </row>
    <row r="20">
      <c r="A20" s="5" t="inlineStr">
        <is>
          <t>D10. 사용자 기만 및 AI 거버넌스 미흡</t>
        </is>
      </c>
      <c r="B20" s="5" t="inlineStr">
        <is>
          <t>User Deception &amp; AI Governance Gaps</t>
        </is>
      </c>
      <c r="C20" s="5" t="inlineStr">
        <is>
          <t>AI 출력을 신뢰하는 사용자가 기만되어 위험한 판단을 내리거나, 감사 체계와 데이터 수명주기 관리가 미흡하여 책임 추적과 규제 준수가 어려워지는 리스크</t>
        </is>
      </c>
      <c r="D20" s="5" t="inlineStr">
        <is>
          <t>사용자와 승인자, 감사 로그, 데이터 분류와 보존 및 폐기 체계</t>
        </is>
      </c>
      <c r="E20" s="5" t="inlineStr">
        <is>
          <t>사람의 판단 또는 관리체계의 미흡이 원인이면 D10</t>
        </is>
      </c>
      <c r="F20" s="6">
        <f>SUMPRODUCT((통합매트릭스!$A$5:$A$131=A20)/COUNTIFS(통합매트릭스!$A$5:$A$131,통합매트릭스!$A$5:$A$131,통합매트릭스!$B$5:$B$131,통합매트릭스!$B$5:$B$131))</f>
        <v/>
      </c>
      <c r="G20" s="6">
        <f>COUNTIF(통합매트릭스!$A$5:$A$131,A20)</f>
        <v/>
      </c>
      <c r="H20" s="6">
        <f>COUNTIFS(통합매트릭스!$A$5:$A$131,A20,통합매트릭스!$I$5:$I$131,"매우 높음")+COUNTIFS(통합매트릭스!$A$5:$A$131,A20,통합매트릭스!$I$5:$I$131,"높음")</f>
        <v/>
      </c>
    </row>
    <row r="22">
      <c r="A22" s="3" t="inlineStr">
        <is>
          <t>3. 위험 평가 기준 (Lv3 단위)</t>
        </is>
      </c>
    </row>
    <row r="23">
      <c r="A23" s="4" t="inlineStr">
        <is>
          <t>항목</t>
        </is>
      </c>
      <c r="B23" s="4" t="inlineStr">
        <is>
          <t>상</t>
        </is>
      </c>
      <c r="C23" s="4" t="inlineStr">
        <is>
          <t>중</t>
        </is>
      </c>
      <c r="D23" s="4" t="inlineStr">
        <is>
          <t>하</t>
        </is>
      </c>
      <c r="E23" s="4" t="inlineStr">
        <is>
          <t>산정 방식</t>
        </is>
      </c>
    </row>
    <row r="24">
      <c r="A24" s="5" t="inlineStr">
        <is>
          <t>발생가능성</t>
        </is>
      </c>
      <c r="B24" s="5" t="inlineStr">
        <is>
          <t>실제 사고 2건 이상 (ATLAS Incident 사례 + OWASP 인용 실제 사고)</t>
        </is>
      </c>
      <c r="C24" s="5" t="inlineStr">
        <is>
          <t>실제 사고 1건, 또는 실증 사례(연구·레드팀)·Realized 기법·공개 취약점/익스플로잇 존재</t>
        </is>
      </c>
      <c r="D24" s="5" t="inlineStr">
        <is>
          <t>이론적으로 가능하나 실제 사례·실증·공개 취약점 없음</t>
        </is>
      </c>
      <c r="E24" s="5" t="inlineStr">
        <is>
          <t>근거(ATLAS 사례·OWASP 인용 실제 사고·Realized 기법·공개 취약점) 기준 산정. LITE는 v3.1 산정값을 고정하며, 사례·근거 개정 시 기준에 따라 재평가(드롭다운 수정)</t>
        </is>
      </c>
    </row>
    <row r="25">
      <c r="A25" s="5" t="inlineStr">
        <is>
          <t>심각도</t>
        </is>
      </c>
      <c r="B25" s="5" t="inlineStr">
        <is>
          <t>AI 시스템 전체 통제권 탈취 또는 중요·개인정보 대량 탈취 가능성 높음 (호스트·에이전트 장악, 연동 자격증명 탈취, 대량 반출)</t>
        </is>
      </c>
      <c r="C25" s="5" t="inlineStr">
        <is>
          <t>부분적 통제 상실 또는 제한된 범위의 정보 노출·무결성 훼손·재무 피해</t>
        </is>
      </c>
      <c r="D25" s="5" t="inlineStr">
        <is>
          <t>영향 범위 제한적, 경미한 정보 노출 또는 일시적 장애 (준비·탐색 단계 포함)</t>
        </is>
      </c>
      <c r="E25" s="5" t="inlineStr">
        <is>
          <t>분석자 평가(심각도 근거 열에 사유 기재) — 기준: 통제권 범위, 정보 노출 규모, 피해 지속성. 드롭다운으로 수정 가능</t>
        </is>
      </c>
    </row>
    <row r="26">
      <c r="A26" s="5" t="inlineStr">
        <is>
          <t>위험도</t>
        </is>
      </c>
      <c r="B26" s="5" t="inlineStr">
        <is>
          <t>매우 높음: 상×상</t>
        </is>
      </c>
      <c r="C26" s="5" t="inlineStr">
        <is>
          <t>높음: 상×중, 중×상 / 보통: 중×중, 상×하, 하×상</t>
        </is>
      </c>
      <c r="D26" s="5" t="inlineStr">
        <is>
          <t>낮음: 중×하, 하×중, 하×하</t>
        </is>
      </c>
      <c r="E26" s="5" t="inlineStr">
        <is>
          <t>발생가능성 × 심각도 3×3 매트릭스(수식, 자동 재계산)</t>
        </is>
      </c>
    </row>
    <row r="28">
      <c r="A28" s="3" t="inlineStr">
        <is>
          <t>4. 근거 수준 정의 (높은 순)</t>
        </is>
      </c>
    </row>
    <row r="29">
      <c r="A29" s="4" t="inlineStr">
        <is>
          <t>근거 수준</t>
        </is>
      </c>
      <c r="B29" s="4" t="inlineStr">
        <is>
          <t>판정 기준</t>
        </is>
      </c>
    </row>
    <row r="30">
      <c r="A30" s="5" t="inlineStr">
        <is>
          <t>실제 사고 확인</t>
        </is>
      </c>
      <c r="B30" s="5" t="inlineStr">
        <is>
          <t>ATLAS Incident 사례 또는 OWASP 원문이 인용한 실제 사고가 1건 이상 연결('실제 사고 수' ≥ 1)</t>
        </is>
      </c>
    </row>
    <row r="31">
      <c r="A31" s="5" t="inlineStr">
        <is>
          <t>실사용 기법 포함</t>
        </is>
      </c>
      <c r="B31" s="5" t="inlineStr">
        <is>
          <t>실제 사고 연결은 없으나 ATLAS Maturity 'Realized' 기법이 귀속</t>
        </is>
      </c>
    </row>
    <row r="32">
      <c r="A32" s="5" t="inlineStr">
        <is>
          <t>실증·공개 취약점</t>
        </is>
      </c>
      <c r="B32" s="5" t="inlineStr">
        <is>
          <t>연구·레드팀 실증 사례(ATLAS Exercise) 또는 OWASP 인용 CVE·공개 익스플로잇 존재</t>
        </is>
      </c>
    </row>
    <row r="33">
      <c r="A33" s="5" t="inlineStr">
        <is>
          <t>이론·시나리오</t>
        </is>
      </c>
      <c r="B33" s="5" t="inlineStr">
        <is>
          <t>공개 근거 없음(OWASP 위험 정의·시나리오 기반). '발생하지 않음'이 아니라 '공개 근거 없음'을 의미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4" customWidth="1" min="2" max="2"/>
    <col width="9" customWidth="1" min="3" max="3"/>
    <col width="9" customWidth="1" min="4" max="4"/>
    <col width="18" customWidth="1" min="5" max="5"/>
    <col width="22" customWidth="1" min="6" max="6"/>
    <col width="48" customWidth="1" min="7" max="7"/>
    <col width="8" customWidth="1" min="8" max="8"/>
    <col width="26" customWidth="1" min="9" max="9"/>
    <col width="30" customWidth="1" min="10" max="10"/>
  </cols>
  <sheetData>
    <row r="1">
      <c r="A1" s="1" t="inlineStr">
        <is>
          <t>MITRE ATLAS 사례연구(73건) — 요약 및 Lv3 매핑</t>
        </is>
      </c>
    </row>
    <row r="2">
      <c r="A2" s="2" t="inlineStr">
        <is>
          <t>주 Lv3 = 분석자가 지정한 대표 세부 위협. 매핑 Lv3 = 공식 절차(employs) 기법의 Lv3 + 분석자 보완. 유형: Incident=실제 사고, Exercise=실증</t>
        </is>
      </c>
    </row>
    <row r="4">
      <c r="A4" s="4" t="inlineStr">
        <is>
          <t>사례 ID</t>
        </is>
      </c>
      <c r="B4" s="4" t="inlineStr">
        <is>
          <t>사례명</t>
        </is>
      </c>
      <c r="C4" s="4" t="inlineStr">
        <is>
          <t>유형</t>
        </is>
      </c>
      <c r="D4" s="4" t="inlineStr">
        <is>
          <t>발생·공개 시점</t>
        </is>
      </c>
      <c r="E4" s="4" t="inlineStr">
        <is>
          <t>행위자</t>
        </is>
      </c>
      <c r="F4" s="4" t="inlineStr">
        <is>
          <t>대상</t>
        </is>
      </c>
      <c r="G4" s="4" t="inlineStr">
        <is>
          <t>국문 요약</t>
        </is>
      </c>
      <c r="H4" s="4" t="inlineStr">
        <is>
          <t>주 Lv3</t>
        </is>
      </c>
      <c r="I4" s="4" t="inlineStr">
        <is>
          <t>매핑 Lv3 (전체)</t>
        </is>
      </c>
      <c r="J4" s="4" t="inlineStr">
        <is>
          <t>URL</t>
        </is>
      </c>
    </row>
    <row r="5">
      <c r="A5" s="5" t="inlineStr">
        <is>
          <t>AML.CS0000</t>
        </is>
      </c>
      <c r="B5" s="5" t="inlineStr">
        <is>
          <t>Evasion of Deep Learning Detector for Malware C&amp;C Traffic</t>
        </is>
      </c>
      <c r="C5" s="6" t="inlineStr">
        <is>
          <t>Exercise</t>
        </is>
      </c>
      <c r="D5" s="6" t="inlineStr">
        <is>
          <t>2020</t>
        </is>
      </c>
      <c r="E5" s="5" t="inlineStr">
        <is>
          <t>Palo Alto Networks AI Research Team</t>
        </is>
      </c>
      <c r="F5" s="5" t="inlineStr">
        <is>
          <t>Palo Alto Networks malware detection system</t>
        </is>
      </c>
      <c r="G5" s="5" t="inlineStr">
        <is>
          <t>공개 논문을 재현한 대리모델로 악성 C&amp;C 트래픽 탐지 딥러닝 모델을 회피</t>
        </is>
      </c>
      <c r="H5" s="6" t="inlineStr">
        <is>
          <t>UT-17.1</t>
        </is>
      </c>
      <c r="I5" s="5" t="inlineStr">
        <is>
          <t>UT-01.1, UT-02.2, UT-16.1, UT-17.1</t>
        </is>
      </c>
      <c r="J5" s="5" t="inlineStr">
        <is>
          <t>https://atlas.mitre.org/case-studies/AML.CS0000</t>
        </is>
      </c>
    </row>
    <row r="6">
      <c r="A6" s="5" t="inlineStr">
        <is>
          <t>AML.CS0001</t>
        </is>
      </c>
      <c r="B6" s="5" t="inlineStr">
        <is>
          <t>Botnet Domain Generation Algorithm (DGA) Detection Evasion</t>
        </is>
      </c>
      <c r="C6" s="6" t="inlineStr">
        <is>
          <t>Exercise</t>
        </is>
      </c>
      <c r="D6" s="6" t="inlineStr">
        <is>
          <t>2020</t>
        </is>
      </c>
      <c r="E6" s="5" t="inlineStr">
        <is>
          <t>Palo Alto Networks AI Research Team</t>
        </is>
      </c>
      <c r="F6" s="5" t="inlineStr">
        <is>
          <t>Palo Alto Networks ML-based DGA detection module</t>
        </is>
      </c>
      <c r="G6" s="5" t="inlineStr">
        <is>
          <t>도메인명 변형 기법으로 CNN 기반 봇넷 DGA 탐지기를 우회</t>
        </is>
      </c>
      <c r="H6" s="6" t="inlineStr">
        <is>
          <t>UT-17.1</t>
        </is>
      </c>
      <c r="I6" s="5" t="inlineStr">
        <is>
          <t>UT-01.1, UT-02.1, UT-02.2, UT-17.1</t>
        </is>
      </c>
      <c r="J6" s="5" t="inlineStr">
        <is>
          <t>https://atlas.mitre.org/case-studies/AML.CS0001</t>
        </is>
      </c>
    </row>
    <row r="7">
      <c r="A7" s="5" t="inlineStr">
        <is>
          <t>AML.CS0002</t>
        </is>
      </c>
      <c r="B7" s="5" t="inlineStr">
        <is>
          <t>VirusTotal Poisoning</t>
        </is>
      </c>
      <c r="C7" s="6" t="inlineStr">
        <is>
          <t>Incident</t>
        </is>
      </c>
      <c r="D7" s="6" t="inlineStr">
        <is>
          <t>2020</t>
        </is>
      </c>
      <c r="E7" s="5" t="inlineStr">
        <is>
          <t>Unknown</t>
        </is>
      </c>
      <c r="F7" s="5" t="inlineStr">
        <is>
          <t>VirusTotal</t>
        </is>
      </c>
      <c r="G7" s="5" t="inlineStr">
        <is>
          <t>VirusTotal에 변종 샘플을 대량 제출해 크라우드소싱 학습 데이터를 오염</t>
        </is>
      </c>
      <c r="H7" s="6" t="inlineStr">
        <is>
          <t>UT-09.1</t>
        </is>
      </c>
      <c r="I7" s="5" t="inlineStr">
        <is>
          <t>UT-02.1, UT-09.1, UT-17.1, UT-28.1</t>
        </is>
      </c>
      <c r="J7" s="5" t="inlineStr">
        <is>
          <t>https://atlas.mitre.org/case-studies/AML.CS0002</t>
        </is>
      </c>
    </row>
    <row r="8">
      <c r="A8" s="5" t="inlineStr">
        <is>
          <t>AML.CS0003</t>
        </is>
      </c>
      <c r="B8" s="5" t="inlineStr">
        <is>
          <t>Bypassing Cylance's AI Malware Detection</t>
        </is>
      </c>
      <c r="C8" s="6" t="inlineStr">
        <is>
          <t>Exercise</t>
        </is>
      </c>
      <c r="D8" s="6" t="inlineStr">
        <is>
          <t>2019-09-07</t>
        </is>
      </c>
      <c r="E8" s="5" t="inlineStr">
        <is>
          <t>Skylight Cyber</t>
        </is>
      </c>
      <c r="F8" s="5" t="inlineStr">
        <is>
          <t>CylancePROTECT, Cylance Smart Antivirus</t>
        </is>
      </c>
      <c r="G8" s="5" t="inlineStr">
        <is>
          <t>Cylance AI 악성코드 탐지기의 판단 로직을 분석해 범용 우회 문자열 생성</t>
        </is>
      </c>
      <c r="H8" s="6" t="inlineStr">
        <is>
          <t>UT-17.1</t>
        </is>
      </c>
      <c r="I8" s="5" t="inlineStr">
        <is>
          <t>UT-01.1, UT-01.3, UT-02.1, UT-15.3, UT-17.1</t>
        </is>
      </c>
      <c r="J8" s="5" t="inlineStr">
        <is>
          <t>https://atlas.mitre.org/case-studies/AML.CS0003</t>
        </is>
      </c>
    </row>
    <row r="9">
      <c r="A9" s="5" t="inlineStr">
        <is>
          <t>AML.CS0004</t>
        </is>
      </c>
      <c r="B9" s="5" t="inlineStr">
        <is>
          <t>Camera Hijack Attack on Facial Recognition System</t>
        </is>
      </c>
      <c r="C9" s="6" t="inlineStr">
        <is>
          <t>Incident</t>
        </is>
      </c>
      <c r="D9" s="6" t="inlineStr">
        <is>
          <t>2020</t>
        </is>
      </c>
      <c r="E9" s="5" t="inlineStr">
        <is>
          <t>Two individuals</t>
        </is>
      </c>
      <c r="F9" s="5" t="inlineStr">
        <is>
          <t>Shanghai government tax office's facial recognition service</t>
        </is>
      </c>
      <c r="G9" s="5" t="inlineStr">
        <is>
          <t>카메라 영상 주입으로 얼굴인식 인증을 우회해 세금 사기(실제 사고)</t>
        </is>
      </c>
      <c r="H9" s="6" t="inlineStr">
        <is>
          <t>UT-17.1</t>
        </is>
      </c>
      <c r="I9" s="5" t="inlineStr">
        <is>
          <t>UT-01.1, UT-01.3, UT-02.1, UT-02.3, UT-04.1, UT-17.1</t>
        </is>
      </c>
      <c r="J9" s="5" t="inlineStr">
        <is>
          <t>https://atlas.mitre.org/case-studies/AML.CS0004</t>
        </is>
      </c>
    </row>
    <row r="10">
      <c r="A10" s="5" t="inlineStr">
        <is>
          <t>AML.CS0005</t>
        </is>
      </c>
      <c r="B10" s="5" t="inlineStr">
        <is>
          <t>Attack on Machine Translation Services</t>
        </is>
      </c>
      <c r="C10" s="6" t="inlineStr">
        <is>
          <t>Exercise</t>
        </is>
      </c>
      <c r="D10" s="6" t="inlineStr">
        <is>
          <t>2020-04-30</t>
        </is>
      </c>
      <c r="E10" s="5" t="inlineStr">
        <is>
          <t>Berkeley Artificial Intelligence Research</t>
        </is>
      </c>
      <c r="F10" s="5" t="inlineStr">
        <is>
          <t>Google Translate, Bing Translator, Systran Translate</t>
        </is>
      </c>
      <c r="G10" s="5" t="inlineStr">
        <is>
          <t>번역 API 질의로 모델을 복제하고 적대적 예제를 원 서비스에 전이</t>
        </is>
      </c>
      <c r="H10" s="6" t="inlineStr">
        <is>
          <t>UT-16.1</t>
        </is>
      </c>
      <c r="I10" s="5" t="inlineStr">
        <is>
          <t>UT-01.1, UT-01.3, UT-02.2, UT-09.4, UT-16.1, UT-17.1</t>
        </is>
      </c>
      <c r="J10" s="5" t="inlineStr">
        <is>
          <t>https://atlas.mitre.org/case-studies/AML.CS0005</t>
        </is>
      </c>
    </row>
    <row r="11">
      <c r="A11" s="5" t="inlineStr">
        <is>
          <t>AML.CS0006</t>
        </is>
      </c>
      <c r="B11" s="5" t="inlineStr">
        <is>
          <t>ClearviewAI Misconfiguration</t>
        </is>
      </c>
      <c r="C11" s="6" t="inlineStr">
        <is>
          <t>Incident</t>
        </is>
      </c>
      <c r="D11" s="6" t="inlineStr">
        <is>
          <t>2020-04</t>
        </is>
      </c>
      <c r="E11" s="5" t="inlineStr">
        <is>
          <t>Researchers at spiderSilk</t>
        </is>
      </c>
      <c r="F11" s="5" t="inlineStr">
        <is>
          <t>Clearview AI facial recognition tool</t>
        </is>
      </c>
      <c r="G11" s="5" t="inlineStr">
        <is>
          <t>Clearview AI 저장소 설정 오류로 소스코드·자격증명·모델 노출</t>
        </is>
      </c>
      <c r="H11" s="6" t="inlineStr">
        <is>
          <t>UT-31.1</t>
        </is>
      </c>
      <c r="I11" s="5" t="inlineStr">
        <is>
          <t>UT-02.2, UT-02.3, UT-02.6, UT-09.4, UT-25.1, UT-31.1</t>
        </is>
      </c>
      <c r="J11" s="5" t="inlineStr">
        <is>
          <t>https://atlas.mitre.org/case-studies/AML.CS0006</t>
        </is>
      </c>
    </row>
    <row r="12">
      <c r="A12" s="5" t="inlineStr">
        <is>
          <t>AML.CS0007</t>
        </is>
      </c>
      <c r="B12" s="5" t="inlineStr">
        <is>
          <t>GPT-2 Model Replication</t>
        </is>
      </c>
      <c r="C12" s="6" t="inlineStr">
        <is>
          <t>Exercise</t>
        </is>
      </c>
      <c r="D12" s="6" t="inlineStr">
        <is>
          <t>2019-08-22</t>
        </is>
      </c>
      <c r="E12" s="5" t="inlineStr">
        <is>
          <t>Researchers at Brown University</t>
        </is>
      </c>
      <c r="F12" s="5" t="inlineStr">
        <is>
          <t>OpenAI GPT-2</t>
        </is>
      </c>
      <c r="G12" s="5" t="inlineStr">
        <is>
          <t>공개 정보로 GPT-2 규모 모델을 재현(모델 복제)</t>
        </is>
      </c>
      <c r="H12" s="6" t="inlineStr">
        <is>
          <t>UT-16.1</t>
        </is>
      </c>
      <c r="I12" s="5" t="inlineStr">
        <is>
          <t>UT-01.1, UT-02.2, UT-02.3, UT-16.1</t>
        </is>
      </c>
      <c r="J12" s="5" t="inlineStr">
        <is>
          <t>https://atlas.mitre.org/case-studies/AML.CS0007</t>
        </is>
      </c>
    </row>
    <row r="13">
      <c r="A13" s="5" t="inlineStr">
        <is>
          <t>AML.CS0008</t>
        </is>
      </c>
      <c r="B13" s="5" t="inlineStr">
        <is>
          <t>ProofPoint Evasion</t>
        </is>
      </c>
      <c r="C13" s="6" t="inlineStr">
        <is>
          <t>Exercise</t>
        </is>
      </c>
      <c r="D13" s="6" t="inlineStr">
        <is>
          <t>2019-09-09</t>
        </is>
      </c>
      <c r="E13" s="5" t="inlineStr">
        <is>
          <t>Researchers at Silent Break Security</t>
        </is>
      </c>
      <c r="F13" s="5" t="inlineStr">
        <is>
          <t>ProofPoint Email Protection System</t>
        </is>
      </c>
      <c r="G13" s="5" t="inlineStr">
        <is>
          <t>ProofPoint 이메일 보호 모델의 복제본을 만들어 실서비스 탐지 회피</t>
        </is>
      </c>
      <c r="H13" s="6" t="inlineStr">
        <is>
          <t>UT-17.1</t>
        </is>
      </c>
      <c r="I13" s="5" t="inlineStr">
        <is>
          <t>UT-01.3, UT-15.3, UT-16.1, UT-17.1</t>
        </is>
      </c>
      <c r="J13" s="5" t="inlineStr">
        <is>
          <t>https://atlas.mitre.org/case-studies/AML.CS0008</t>
        </is>
      </c>
    </row>
    <row r="14">
      <c r="A14" s="5" t="inlineStr">
        <is>
          <t>AML.CS0009</t>
        </is>
      </c>
      <c r="B14" s="5" t="inlineStr">
        <is>
          <t>Tay Poisoning</t>
        </is>
      </c>
      <c r="C14" s="6" t="inlineStr">
        <is>
          <t>Incident</t>
        </is>
      </c>
      <c r="D14" s="6" t="inlineStr">
        <is>
          <t>2016-03-23</t>
        </is>
      </c>
      <c r="E14" s="5" t="inlineStr">
        <is>
          <t>4chan Users</t>
        </is>
      </c>
      <c r="F14" s="5" t="inlineStr">
        <is>
          <t>Microsoft's Tay AI Chatbot</t>
        </is>
      </c>
      <c r="G14" s="5" t="inlineStr">
        <is>
          <t>Tay 챗봇이 사용자 대화로 온라인 학습되며 오염되어 혐오 발언 생성(실제 사고)</t>
        </is>
      </c>
      <c r="H14" s="6" t="inlineStr">
        <is>
          <t>UT-09.3</t>
        </is>
      </c>
      <c r="I14" s="5" t="inlineStr">
        <is>
          <t>UT-01.3, UT-09.1, UT-09.3, UT-09.4, UT-28.1</t>
        </is>
      </c>
      <c r="J14" s="5" t="inlineStr">
        <is>
          <t>https://atlas.mitre.org/case-studies/AML.CS0009</t>
        </is>
      </c>
    </row>
    <row r="15">
      <c r="A15" s="5" t="inlineStr">
        <is>
          <t>AML.CS0010</t>
        </is>
      </c>
      <c r="B15" s="5" t="inlineStr">
        <is>
          <t>Microsoft Azure Service Disruption</t>
        </is>
      </c>
      <c r="C15" s="6" t="inlineStr">
        <is>
          <t>Exercise</t>
        </is>
      </c>
      <c r="D15" s="6" t="inlineStr">
        <is>
          <t>2020</t>
        </is>
      </c>
      <c r="E15" s="5" t="inlineStr">
        <is>
          <t>Microsoft AI Red Team</t>
        </is>
      </c>
      <c r="F15" s="5" t="inlineStr">
        <is>
          <t>Internal Microsoft Azure Service</t>
        </is>
      </c>
      <c r="G15" s="5" t="inlineStr">
        <is>
          <t>레드팀이 기존 침투기법과 AI 회피를 결합해 Azure 내부 서비스 중단 시연</t>
        </is>
      </c>
      <c r="H15" s="6" t="inlineStr">
        <is>
          <t>UT-17.1</t>
        </is>
      </c>
      <c r="I15" s="5" t="inlineStr">
        <is>
          <t>UT-01.1, UT-01.3, UT-02.6, UT-16.2, UT-17.1, UT-25.4</t>
        </is>
      </c>
      <c r="J15" s="5" t="inlineStr">
        <is>
          <t>https://atlas.mitre.org/case-studies/AML.CS0010</t>
        </is>
      </c>
    </row>
    <row r="16">
      <c r="A16" s="5" t="inlineStr">
        <is>
          <t>AML.CS0011</t>
        </is>
      </c>
      <c r="B16" s="5" t="inlineStr">
        <is>
          <t>Microsoft Edge AI Evasion</t>
        </is>
      </c>
      <c r="C16" s="6" t="inlineStr">
        <is>
          <t>Exercise</t>
        </is>
      </c>
      <c r="D16" s="6" t="inlineStr">
        <is>
          <t>2020-02</t>
        </is>
      </c>
      <c r="E16" s="5" t="inlineStr">
        <is>
          <t>Azure Red Team</t>
        </is>
      </c>
      <c r="F16" s="5" t="inlineStr">
        <is>
          <t>New Microsoft AI Product</t>
        </is>
      </c>
      <c r="G16" s="5" t="inlineStr">
        <is>
          <t>엣지 AI 제품 대상 자동 이미지 변조로 오분류 유도</t>
        </is>
      </c>
      <c r="H16" s="6" t="inlineStr">
        <is>
          <t>UT-17.1</t>
        </is>
      </c>
      <c r="I16" s="5" t="inlineStr">
        <is>
          <t>UT-01.1, UT-01.3, UT-02.2, UT-17.1</t>
        </is>
      </c>
      <c r="J16" s="5" t="inlineStr">
        <is>
          <t>https://atlas.mitre.org/case-studies/AML.CS0011</t>
        </is>
      </c>
    </row>
    <row r="17">
      <c r="A17" s="5" t="inlineStr">
        <is>
          <t>AML.CS0012</t>
        </is>
      </c>
      <c r="B17" s="5" t="inlineStr">
        <is>
          <t>Face Identification System Evasion via Physical Countermeasures</t>
        </is>
      </c>
      <c r="C17" s="6" t="inlineStr">
        <is>
          <t>Exercise</t>
        </is>
      </c>
      <c r="D17" s="6" t="inlineStr">
        <is>
          <t>2020-01-01</t>
        </is>
      </c>
      <c r="E17" s="5" t="inlineStr">
        <is>
          <t>MITRE AI Red Team</t>
        </is>
      </c>
      <c r="F17" s="5" t="inlineStr">
        <is>
          <t>Commercial Face Identification Service</t>
        </is>
      </c>
      <c r="G17" s="5" t="inlineStr">
        <is>
          <t>물리적 대응물로 상용 얼굴식별 서비스에 표적 오분류 유도</t>
        </is>
      </c>
      <c r="H17" s="6" t="inlineStr">
        <is>
          <t>UT-17.1</t>
        </is>
      </c>
      <c r="I17" s="5" t="inlineStr">
        <is>
          <t>UT-01.1, UT-01.3, UT-01.4, UT-02.2, UT-02.3, UT-16.1, UT-17.1, UT-17.2, UT-25.4</t>
        </is>
      </c>
      <c r="J17" s="5" t="inlineStr">
        <is>
          <t>https://atlas.mitre.org/case-studies/AML.CS0012</t>
        </is>
      </c>
    </row>
    <row r="18">
      <c r="A18" s="5" t="inlineStr">
        <is>
          <t>AML.CS0013</t>
        </is>
      </c>
      <c r="B18" s="5" t="inlineStr">
        <is>
          <t>Backdoor Attack on Deep Learning Models in Mobile Apps</t>
        </is>
      </c>
      <c r="C18" s="6" t="inlineStr">
        <is>
          <t>Exercise</t>
        </is>
      </c>
      <c r="D18" s="6" t="inlineStr">
        <is>
          <t>2021-01-18</t>
        </is>
      </c>
      <c r="E18" s="5" t="inlineStr">
        <is>
          <t>Yuanchun Li, Jiayi Hua, Haoyu Wang, Chunyang Chen, Yunxin Liu</t>
        </is>
      </c>
      <c r="F18" s="5" t="inlineStr">
        <is>
          <t>ML-based Android Apps</t>
        </is>
      </c>
      <c r="G18" s="5" t="inlineStr">
        <is>
          <t>모바일 앱에서 추출한 딥러닝 모델에 백도어 삽입 후 재패키징</t>
        </is>
      </c>
      <c r="H18" s="6" t="inlineStr">
        <is>
          <t>UT-14.2</t>
        </is>
      </c>
      <c r="I18" s="5" t="inlineStr">
        <is>
          <t>UT-01.1, UT-01.3, UT-02.1, UT-02.2, UT-14.2, UT-14.4, UT-17.1, UT-17.2, UT-28.1</t>
        </is>
      </c>
      <c r="J18" s="5" t="inlineStr">
        <is>
          <t>https://atlas.mitre.org/case-studies/AML.CS0013</t>
        </is>
      </c>
    </row>
    <row r="19">
      <c r="A19" s="5" t="inlineStr">
        <is>
          <t>AML.CS0014</t>
        </is>
      </c>
      <c r="B19" s="5" t="inlineStr">
        <is>
          <t>Confusing Antimalware Neural Networks</t>
        </is>
      </c>
      <c r="C19" s="6" t="inlineStr">
        <is>
          <t>Exercise</t>
        </is>
      </c>
      <c r="D19" s="6" t="inlineStr">
        <is>
          <t>2021-06-23</t>
        </is>
      </c>
      <c r="E19" s="5" t="inlineStr">
        <is>
          <t>Kaspersky ML Research Team</t>
        </is>
      </c>
      <c r="F19" s="5" t="inlineStr">
        <is>
          <t>Kaspersky's Antimalware ML Model</t>
        </is>
      </c>
      <c r="G19" s="5" t="inlineStr">
        <is>
          <t>클라이언트 측 특징값 조작으로 클라우드 악성코드 탐지 신경망 교란</t>
        </is>
      </c>
      <c r="H19" s="6" t="inlineStr">
        <is>
          <t>UT-17.1</t>
        </is>
      </c>
      <c r="I19" s="5" t="inlineStr">
        <is>
          <t>UT-01.1, UT-01.3, UT-02.1, UT-02.2, UT-16.1, UT-17.1</t>
        </is>
      </c>
      <c r="J19" s="5" t="inlineStr">
        <is>
          <t>https://atlas.mitre.org/case-studies/AML.CS0014</t>
        </is>
      </c>
    </row>
    <row r="20">
      <c r="A20" s="5" t="inlineStr">
        <is>
          <t>AML.CS0015</t>
        </is>
      </c>
      <c r="B20" s="5" t="inlineStr">
        <is>
          <t>Compromised PyTorch Dependency Chain</t>
        </is>
      </c>
      <c r="C20" s="6" t="inlineStr">
        <is>
          <t>Incident</t>
        </is>
      </c>
      <c r="D20" s="6" t="inlineStr">
        <is>
          <t>2022-12-25</t>
        </is>
      </c>
      <c r="E20" s="5" t="inlineStr">
        <is>
          <t>Unknown</t>
        </is>
      </c>
      <c r="F20" s="5" t="inlineStr">
        <is>
          <t>PyTorch</t>
        </is>
      </c>
      <c r="G20" s="5" t="inlineStr">
        <is>
          <t>PyPI에 올라간 악성 torchtriton 의존성으로 PyTorch-nightly 사용자 정보 유출(실제 사고)</t>
        </is>
      </c>
      <c r="H20" s="6" t="inlineStr">
        <is>
          <t>UT-28.2</t>
        </is>
      </c>
      <c r="I20" s="5" t="inlineStr">
        <is>
          <t>UT-02.6, UT-28.2</t>
        </is>
      </c>
      <c r="J20" s="5" t="inlineStr">
        <is>
          <t>https://atlas.mitre.org/case-studies/AML.CS0015</t>
        </is>
      </c>
    </row>
    <row r="21">
      <c r="A21" s="5" t="inlineStr">
        <is>
          <t>AML.CS0016</t>
        </is>
      </c>
      <c r="B21" s="5" t="inlineStr">
        <is>
          <t>Achieving Code Execution in MathGPT via Prompt Injection</t>
        </is>
      </c>
      <c r="C21" s="6" t="inlineStr">
        <is>
          <t>Exercise</t>
        </is>
      </c>
      <c r="D21" s="6" t="inlineStr">
        <is>
          <t>2023-01-28</t>
        </is>
      </c>
      <c r="E21" s="5" t="inlineStr">
        <is>
          <t>Ludwig-Ferdinand Stumpp</t>
        </is>
      </c>
      <c r="F21" s="5" t="inlineStr">
        <is>
          <t>MathGPT (https://mathgpt.streamlit.app/)</t>
        </is>
      </c>
      <c r="G21" s="5" t="inlineStr">
        <is>
          <t>MathGPT에 프롬프트 인젝션으로 파이썬 코드 실행·API 키 노출</t>
        </is>
      </c>
      <c r="H21" s="6" t="inlineStr">
        <is>
          <t>UT-06.1</t>
        </is>
      </c>
      <c r="I21" s="5" t="inlineStr">
        <is>
          <t>UT-01.1, UT-01.3, UT-06.1, UT-07.1, UT-17.1, UT-21.4, UT-22.1, UT-25.1, UT-30.1</t>
        </is>
      </c>
      <c r="J21" s="5" t="inlineStr">
        <is>
          <t>https://atlas.mitre.org/case-studies/AML.CS0016</t>
        </is>
      </c>
    </row>
    <row r="22">
      <c r="A22" s="5" t="inlineStr">
        <is>
          <t>AML.CS0017</t>
        </is>
      </c>
      <c r="B22" s="5" t="inlineStr">
        <is>
          <t>Bypassing ID.me Identity Verification</t>
        </is>
      </c>
      <c r="C22" s="6" t="inlineStr">
        <is>
          <t>Incident</t>
        </is>
      </c>
      <c r="D22" s="6" t="inlineStr">
        <is>
          <t>2020-10</t>
        </is>
      </c>
      <c r="E22" s="5" t="inlineStr">
        <is>
          <t>One individual</t>
        </is>
      </c>
      <c r="F22" s="5" t="inlineStr">
        <is>
          <t>California Employment Development Department</t>
        </is>
      </c>
      <c r="G22" s="5" t="inlineStr">
        <is>
          <t>ID.me 자동 신원확인을 우회해 180건 이상 허위 실업급여 청구(실제 사고)</t>
        </is>
      </c>
      <c r="H22" s="6" t="inlineStr">
        <is>
          <t>UT-17.1</t>
        </is>
      </c>
      <c r="I22" s="5" t="inlineStr">
        <is>
          <t>UT-01.3, UT-04.1, UT-17.1</t>
        </is>
      </c>
      <c r="J22" s="5" t="inlineStr">
        <is>
          <t>https://atlas.mitre.org/case-studies/AML.CS0017</t>
        </is>
      </c>
    </row>
    <row r="23">
      <c r="A23" s="5" t="inlineStr">
        <is>
          <t>AML.CS0018</t>
        </is>
      </c>
      <c r="B23" s="5" t="inlineStr">
        <is>
          <t>Arbitrary Code Execution with Google Colab</t>
        </is>
      </c>
      <c r="C23" s="6" t="inlineStr">
        <is>
          <t>Exercise</t>
        </is>
      </c>
      <c r="D23" s="6" t="inlineStr">
        <is>
          <t>2022-07</t>
        </is>
      </c>
      <c r="E23" s="5" t="inlineStr">
        <is>
          <t>Tony Piazza</t>
        </is>
      </c>
      <c r="F23" s="5" t="inlineStr">
        <is>
          <t>Google Colab</t>
        </is>
      </c>
      <c r="G23" s="5" t="inlineStr">
        <is>
          <t>Google Colab 노트북을 통한 임의 코드 실행 경로 시연</t>
        </is>
      </c>
      <c r="H23" s="6" t="inlineStr">
        <is>
          <t>UT-22.2</t>
        </is>
      </c>
      <c r="I23" s="5" t="inlineStr">
        <is>
          <t>UT-02.1, UT-02.6, UT-16.2, UT-22.2, UT-25.4, UT-28.2</t>
        </is>
      </c>
      <c r="J23" s="5" t="inlineStr">
        <is>
          <t>https://atlas.mitre.org/case-studies/AML.CS0018</t>
        </is>
      </c>
    </row>
    <row r="24">
      <c r="A24" s="5" t="inlineStr">
        <is>
          <t>AML.CS0019</t>
        </is>
      </c>
      <c r="B24" s="5" t="inlineStr">
        <is>
          <t>PoisonGPT</t>
        </is>
      </c>
      <c r="C24" s="6" t="inlineStr">
        <is>
          <t>Exercise</t>
        </is>
      </c>
      <c r="D24" s="6" t="inlineStr">
        <is>
          <t>2023-07</t>
        </is>
      </c>
      <c r="E24" s="5" t="inlineStr">
        <is>
          <t>Mithril Security Researchers</t>
        </is>
      </c>
      <c r="F24" s="5" t="inlineStr">
        <is>
          <t>HuggingFace Users</t>
        </is>
      </c>
      <c r="G24" s="5" t="inlineStr">
        <is>
          <t>LLM 가중치를 편집해 허위 사실을 답하게 만든 뒤 Hugging Face에 배포(PoisonGPT)</t>
        </is>
      </c>
      <c r="H24" s="6" t="inlineStr">
        <is>
          <t>UT-14.1</t>
        </is>
      </c>
      <c r="I24" s="5" t="inlineStr">
        <is>
          <t>UT-02.2, UT-09.4, UT-14.1, UT-17.1, UT-20.3, UT-28.1</t>
        </is>
      </c>
      <c r="J24" s="5" t="inlineStr">
        <is>
          <t>https://atlas.mitre.org/case-studies/AML.CS0019</t>
        </is>
      </c>
    </row>
    <row r="25">
      <c r="A25" s="5" t="inlineStr">
        <is>
          <t>AML.CS0020</t>
        </is>
      </c>
      <c r="B25" s="5" t="inlineStr">
        <is>
          <t>Indirect Prompt Injection Threats: Bing Chat Data Pirate</t>
        </is>
      </c>
      <c r="C25" s="6" t="inlineStr">
        <is>
          <t>Exercise</t>
        </is>
      </c>
      <c r="D25" s="6" t="inlineStr">
        <is>
          <t>2023</t>
        </is>
      </c>
      <c r="E25" s="5" t="inlineStr">
        <is>
          <t>Kai Greshake, Saarland University</t>
        </is>
      </c>
      <c r="F25" s="5" t="inlineStr">
        <is>
          <t>Microsoft Bing Chat</t>
        </is>
      </c>
      <c r="G25" s="5" t="inlineStr">
        <is>
          <t>웹페이지 숨은 지시로 Bing Chat이 사용자 개인정보를 캐내는 사회공학 수행</t>
        </is>
      </c>
      <c r="H25" s="6" t="inlineStr">
        <is>
          <t>UT-07.1</t>
        </is>
      </c>
      <c r="I25" s="5" t="inlineStr">
        <is>
          <t>UT-02.1, UT-04.2, UT-06.3, UT-07.1, UT-34.2</t>
        </is>
      </c>
      <c r="J25" s="5" t="inlineStr">
        <is>
          <t>https://atlas.mitre.org/case-studies/AML.CS0020</t>
        </is>
      </c>
    </row>
    <row r="26">
      <c r="A26" s="5" t="inlineStr">
        <is>
          <t>AML.CS0021</t>
        </is>
      </c>
      <c r="B26" s="5" t="inlineStr">
        <is>
          <t>ChatGPT Conversation Exfiltration</t>
        </is>
      </c>
      <c r="C26" s="6" t="inlineStr">
        <is>
          <t>Exercise</t>
        </is>
      </c>
      <c r="D26" s="6" t="inlineStr">
        <is>
          <t>2023-05</t>
        </is>
      </c>
      <c r="E26" s="5" t="inlineStr">
        <is>
          <t>Embrace The Red</t>
        </is>
      </c>
      <c r="F26" s="5" t="inlineStr">
        <is>
          <t>OpenAI ChatGPT</t>
        </is>
      </c>
      <c r="G26" s="5" t="inlineStr">
        <is>
          <t>웹페이지 간접 인젝션으로 ChatGPT 대화 내용을 이미지 URL로 유출</t>
        </is>
      </c>
      <c r="H26" s="6" t="inlineStr">
        <is>
          <t>UT-07.1</t>
        </is>
      </c>
      <c r="I26" s="5" t="inlineStr">
        <is>
          <t>UT-02.3, UT-02.4, UT-06.3, UT-07.1, UT-18.1, UT-19.1, UT-21.4</t>
        </is>
      </c>
      <c r="J26" s="5" t="inlineStr">
        <is>
          <t>https://atlas.mitre.org/case-studies/AML.CS0021</t>
        </is>
      </c>
    </row>
    <row r="27">
      <c r="A27" s="5" t="inlineStr">
        <is>
          <t>AML.CS0022</t>
        </is>
      </c>
      <c r="B27" s="5" t="inlineStr">
        <is>
          <t>ChatGPT Package Hallucination</t>
        </is>
      </c>
      <c r="C27" s="6" t="inlineStr">
        <is>
          <t>Exercise</t>
        </is>
      </c>
      <c r="D27" s="6" t="inlineStr">
        <is>
          <t>2024-06</t>
        </is>
      </c>
      <c r="E27" s="5" t="inlineStr">
        <is>
          <t>Vulcan Cyber, Lasso Security</t>
        </is>
      </c>
      <c r="F27" s="5" t="inlineStr">
        <is>
          <t>ChatGPT users</t>
        </is>
      </c>
      <c r="G27" s="5" t="inlineStr">
        <is>
          <t>LLM이 환각한 가짜 패키지명을 공격자가 선점해 악성 패키지 배포 가능성 입증</t>
        </is>
      </c>
      <c r="H27" s="6" t="inlineStr">
        <is>
          <t>UT-28.2</t>
        </is>
      </c>
      <c r="I27" s="5" t="inlineStr">
        <is>
          <t>UT-01.3, UT-20.2, UT-28.2, UT-28.3</t>
        </is>
      </c>
      <c r="J27" s="5" t="inlineStr">
        <is>
          <t>https://atlas.mitre.org/case-studies/AML.CS0022</t>
        </is>
      </c>
    </row>
    <row r="28">
      <c r="A28" s="5" t="inlineStr">
        <is>
          <t>AML.CS0023</t>
        </is>
      </c>
      <c r="B28" s="5" t="inlineStr">
        <is>
          <t>ShadowRay: Hijacking Exposed Ray Clusters</t>
        </is>
      </c>
      <c r="C28" s="6" t="inlineStr">
        <is>
          <t>Incident</t>
        </is>
      </c>
      <c r="D28" s="6" t="inlineStr">
        <is>
          <t>2023-09-05</t>
        </is>
      </c>
      <c r="E28" s="5" t="inlineStr">
        <is>
          <t>Unknown</t>
        </is>
      </c>
      <c r="F28" s="5" t="inlineStr">
        <is>
          <t>Exposed Ray Clusters</t>
        </is>
      </c>
      <c r="G28" s="5" t="inlineStr">
        <is>
          <t>인증 없는 Ray 클러스터를 탈취해 연산자원·자격증명·모델 탈취(ShadowRay, 실제 사고)</t>
        </is>
      </c>
      <c r="H28" s="6" t="inlineStr">
        <is>
          <t>UT-31.1</t>
        </is>
      </c>
      <c r="I28" s="5" t="inlineStr">
        <is>
          <t>UT-01.2, UT-02.4, UT-02.6, UT-16.2, UT-22.1, UT-25.1, UT-28.1, UT-31.1</t>
        </is>
      </c>
      <c r="J28" s="5" t="inlineStr">
        <is>
          <t>https://atlas.mitre.org/case-studies/AML.CS0023</t>
        </is>
      </c>
    </row>
    <row r="29">
      <c r="A29" s="5" t="inlineStr">
        <is>
          <t>AML.CS0024</t>
        </is>
      </c>
      <c r="B29" s="5" t="inlineStr">
        <is>
          <t>Morris II Worm: RAG-Based Attack</t>
        </is>
      </c>
      <c r="C29" s="6" t="inlineStr">
        <is>
          <t>Exercise</t>
        </is>
      </c>
      <c r="D29" s="6" t="inlineStr">
        <is>
          <t>2024-03-05</t>
        </is>
      </c>
      <c r="E29" s="5" t="inlineStr">
        <is>
          <t>Stav Cohen, Ron Bitton, Ben Nassi</t>
        </is>
      </c>
      <c r="F29" s="5" t="inlineStr">
        <is>
          <t>RAG-based e-mail assistant</t>
        </is>
      </c>
      <c r="G29" s="5" t="inlineStr">
        <is>
          <t>RAG를 매개로 자기복제 프롬프트가 GenAI 이메일 비서 간 전파(Morris II 웜)</t>
        </is>
      </c>
      <c r="H29" s="6" t="inlineStr">
        <is>
          <t>UT-23.2</t>
        </is>
      </c>
      <c r="I29" s="5" t="inlineStr">
        <is>
          <t>UT-01.3, UT-06.1, UT-07.2, UT-10.1, UT-12.1, UT-21.4, UT-23.2</t>
        </is>
      </c>
      <c r="J29" s="5" t="inlineStr">
        <is>
          <t>https://atlas.mitre.org/case-studies/AML.CS0024</t>
        </is>
      </c>
    </row>
    <row r="30">
      <c r="A30" s="5" t="inlineStr">
        <is>
          <t>AML.CS0025</t>
        </is>
      </c>
      <c r="B30" s="5" t="inlineStr">
        <is>
          <t>Web-Scale Data Poisoning: Split-View Attack</t>
        </is>
      </c>
      <c r="C30" s="6" t="inlineStr">
        <is>
          <t>Exercise</t>
        </is>
      </c>
      <c r="D30" s="6" t="inlineStr">
        <is>
          <t>2024-06-06</t>
        </is>
      </c>
      <c r="E30" s="5" t="inlineStr">
        <is>
          <t>Researchers from Google Deepmind, ETH Zurich, NVIDIA, Robust Intelligence, and Google</t>
        </is>
      </c>
      <c r="F30" s="5" t="inlineStr">
        <is>
          <t>10 web-scale datasets</t>
        </is>
      </c>
      <c r="G30" s="5" t="inlineStr">
        <is>
          <t>URL 목록형 대규모 데이터셋의 만료 도메인을 매입해 학습 데이터 오염(Split-View)</t>
        </is>
      </c>
      <c r="H30" s="6" t="inlineStr">
        <is>
          <t>UT-09.4</t>
        </is>
      </c>
      <c r="I30" s="5" t="inlineStr">
        <is>
          <t>UT-02.2, UT-02.3, UT-09.1, UT-09.2, UT-09.4, UT-28.4</t>
        </is>
      </c>
      <c r="J30" s="5" t="inlineStr">
        <is>
          <t>https://atlas.mitre.org/case-studies/AML.CS0025</t>
        </is>
      </c>
    </row>
    <row r="31">
      <c r="A31" s="5" t="inlineStr">
        <is>
          <t>AML.CS0026</t>
        </is>
      </c>
      <c r="B31" s="5" t="inlineStr">
        <is>
          <t>Financial Transaction Hijacking with M365 Copilot as an Insider</t>
        </is>
      </c>
      <c r="C31" s="6" t="inlineStr">
        <is>
          <t>Exercise</t>
        </is>
      </c>
      <c r="D31" s="6" t="inlineStr">
        <is>
          <t>2024-08-08</t>
        </is>
      </c>
      <c r="E31" s="5" t="inlineStr">
        <is>
          <t>Zenity</t>
        </is>
      </c>
      <c r="F31" s="5" t="inlineStr">
        <is>
          <t>Microsoft 365 Copilot</t>
        </is>
      </c>
      <c r="G31" s="5" t="inlineStr">
        <is>
          <t>메일을 RAG로 수집하는 M365 Copilot을 조작해 송금 계좌 정보를 바꿔치기</t>
        </is>
      </c>
      <c r="H31" s="6" t="inlineStr">
        <is>
          <t>UT-10.1</t>
        </is>
      </c>
      <c r="I31" s="5" t="inlineStr">
        <is>
          <t>UT-01.3, UT-06.3, UT-07.1, UT-07.3, UT-08.1, UT-10.1, UT-20.3, UT-21.4, UT-34.1</t>
        </is>
      </c>
      <c r="J31" s="5" t="inlineStr">
        <is>
          <t>https://atlas.mitre.org/case-studies/AML.CS0026</t>
        </is>
      </c>
    </row>
    <row r="32">
      <c r="A32" s="5" t="inlineStr">
        <is>
          <t>AML.CS0027</t>
        </is>
      </c>
      <c r="B32" s="5" t="inlineStr">
        <is>
          <t>Organization Confusion on Hugging Face</t>
        </is>
      </c>
      <c r="C32" s="6" t="inlineStr">
        <is>
          <t>Exercise</t>
        </is>
      </c>
      <c r="D32" s="6" t="inlineStr">
        <is>
          <t>2023-08-23</t>
        </is>
      </c>
      <c r="E32" s="5" t="inlineStr">
        <is>
          <t>threlfall_hax</t>
        </is>
      </c>
      <c r="F32" s="5" t="inlineStr">
        <is>
          <t>Hugging Face users</t>
        </is>
      </c>
      <c r="G32" s="5" t="inlineStr">
        <is>
          <t>실존 기업을 사칭한 Hugging Face 조직 계정으로 악성 모델 유포</t>
        </is>
      </c>
      <c r="H32" s="6" t="inlineStr">
        <is>
          <t>UT-28.1</t>
        </is>
      </c>
      <c r="I32" s="5" t="inlineStr">
        <is>
          <t>UT-01.3, UT-01.4, UT-02.1, UT-02.3, UT-02.6, UT-04.3, UT-14.1, UT-14.2, UT-25.1, UT-28.1, UT-28.4</t>
        </is>
      </c>
      <c r="J32" s="5" t="inlineStr">
        <is>
          <t>https://atlas.mitre.org/case-studies/AML.CS0027</t>
        </is>
      </c>
    </row>
    <row r="33">
      <c r="A33" s="5" t="inlineStr">
        <is>
          <t>AML.CS0028</t>
        </is>
      </c>
      <c r="B33" s="5" t="inlineStr">
        <is>
          <t>AI Model Tampering via Supply Chain Attack</t>
        </is>
      </c>
      <c r="C33" s="6" t="inlineStr">
        <is>
          <t>Exercise</t>
        </is>
      </c>
      <c r="D33" s="6" t="inlineStr">
        <is>
          <t>2023-09-26</t>
        </is>
      </c>
      <c r="E33" s="5" t="inlineStr">
        <is>
          <t>Trend Micro Nebula Cloud Research Team</t>
        </is>
      </c>
      <c r="F33" s="5" t="inlineStr">
        <is>
          <t>Private Container Registries</t>
        </is>
      </c>
      <c r="G33" s="5" t="inlineStr">
        <is>
          <t>노출된 사설 컨테이너 레지스트리 8천여 개 발견, 모델 이미지 변조 가능성 입증</t>
        </is>
      </c>
      <c r="H33" s="6" t="inlineStr">
        <is>
          <t>UT-28.5</t>
        </is>
      </c>
      <c r="I33" s="5" t="inlineStr">
        <is>
          <t>UT-01.1, UT-01.3, UT-01.4, UT-02.4, UT-14.1, UT-14.2, UT-17.1, UT-28.5, UT-31.1</t>
        </is>
      </c>
      <c r="J33" s="5" t="inlineStr">
        <is>
          <t>https://atlas.mitre.org/case-studies/AML.CS0028</t>
        </is>
      </c>
    </row>
    <row r="34">
      <c r="A34" s="5" t="inlineStr">
        <is>
          <t>AML.CS0029</t>
        </is>
      </c>
      <c r="B34" s="5" t="inlineStr">
        <is>
          <t>Google Bard Conversation Exfiltration</t>
        </is>
      </c>
      <c r="C34" s="6" t="inlineStr">
        <is>
          <t>Exercise</t>
        </is>
      </c>
      <c r="D34" s="6" t="inlineStr">
        <is>
          <t>2023-11-23</t>
        </is>
      </c>
      <c r="E34" s="5" t="inlineStr">
        <is>
          <t>Embrace the Red</t>
        </is>
      </c>
      <c r="F34" s="5" t="inlineStr">
        <is>
          <t>Google Bard</t>
        </is>
      </c>
      <c r="G34" s="5" t="inlineStr">
        <is>
          <t>공유 Google 문서의 간접 인젝션으로 Bard 대화 내용 유출</t>
        </is>
      </c>
      <c r="H34" s="6" t="inlineStr">
        <is>
          <t>UT-07.1</t>
        </is>
      </c>
      <c r="I34" s="5" t="inlineStr">
        <is>
          <t>UT-02.1, UT-02.3, UT-06.3, UT-07.1, UT-18.1, UT-19.1</t>
        </is>
      </c>
      <c r="J34" s="5" t="inlineStr">
        <is>
          <t>https://atlas.mitre.org/case-studies/AML.CS0029</t>
        </is>
      </c>
    </row>
    <row r="35">
      <c r="A35" s="5" t="inlineStr">
        <is>
          <t>AML.CS0030</t>
        </is>
      </c>
      <c r="B35" s="5" t="inlineStr">
        <is>
          <t>LLM Jacking</t>
        </is>
      </c>
      <c r="C35" s="6" t="inlineStr">
        <is>
          <t>Incident</t>
        </is>
      </c>
      <c r="D35" s="6" t="inlineStr">
        <is>
          <t>2024-05-06</t>
        </is>
      </c>
      <c r="E35" s="5" t="inlineStr">
        <is>
          <t>Unknown</t>
        </is>
      </c>
      <c r="F35" s="5" t="inlineStr">
        <is>
          <t>Cloud-Based LLM Services</t>
        </is>
      </c>
      <c r="G35" s="5" t="inlineStr">
        <is>
          <t>탈취한 클라우드 자격증명으로 LLM 서비스를 무단 사용·재판매(LLMjacking, 실제 사고)</t>
        </is>
      </c>
      <c r="H35" s="6" t="inlineStr">
        <is>
          <t>UT-25.4</t>
        </is>
      </c>
      <c r="I35" s="5" t="inlineStr">
        <is>
          <t>UT-01.4, UT-02.1, UT-02.4, UT-25.1, UT-25.4, UT-30.2</t>
        </is>
      </c>
      <c r="J35" s="5" t="inlineStr">
        <is>
          <t>https://atlas.mitre.org/case-studies/AML.CS0030</t>
        </is>
      </c>
    </row>
    <row r="36">
      <c r="A36" s="5" t="inlineStr">
        <is>
          <t>AML.CS0031</t>
        </is>
      </c>
      <c r="B36" s="5" t="inlineStr">
        <is>
          <t>Malicious Models on Hugging Face</t>
        </is>
      </c>
      <c r="C36" s="6" t="inlineStr">
        <is>
          <t>Incident</t>
        </is>
      </c>
      <c r="D36" s="6" t="inlineStr">
        <is>
          <t>2025</t>
        </is>
      </c>
      <c r="E36" s="5" t="inlineStr">
        <is>
          <t>Unknown</t>
        </is>
      </c>
      <c r="F36" s="5" t="inlineStr">
        <is>
          <t>Hugging Face users</t>
        </is>
      </c>
      <c r="G36" s="5" t="inlineStr">
        <is>
          <t>Hugging Face에 역쉘을 내장한 악성 모델 호스팅(실제 사고)</t>
        </is>
      </c>
      <c r="H36" s="6" t="inlineStr">
        <is>
          <t>UT-28.1</t>
        </is>
      </c>
      <c r="I36" s="5" t="inlineStr">
        <is>
          <t>UT-02.6, UT-14.2, UT-22.2, UT-28.1</t>
        </is>
      </c>
      <c r="J36" s="5" t="inlineStr">
        <is>
          <t>https://atlas.mitre.org/case-studies/AML.CS0031</t>
        </is>
      </c>
    </row>
    <row r="37">
      <c r="A37" s="5" t="inlineStr">
        <is>
          <t>AML.CS0032</t>
        </is>
      </c>
      <c r="B37" s="5" t="inlineStr">
        <is>
          <t>Attempted Evasion of ML Phishing Webpage Detection System</t>
        </is>
      </c>
      <c r="C37" s="6" t="inlineStr">
        <is>
          <t>Incident</t>
        </is>
      </c>
      <c r="D37" s="6" t="inlineStr">
        <is>
          <t>2022-12</t>
        </is>
      </c>
      <c r="E37" s="5" t="inlineStr">
        <is>
          <t>Unknown</t>
        </is>
      </c>
      <c r="F37" s="5" t="inlineStr">
        <is>
          <t>Commercial ML Phishing Webpage Detector</t>
        </is>
      </c>
      <c r="G37" s="5" t="inlineStr">
        <is>
          <t>피싱 사이트가 ML 기반 피싱 탐지기를 회피하도록 시각 요소 변형(실제 사고)</t>
        </is>
      </c>
      <c r="H37" s="6" t="inlineStr">
        <is>
          <t>UT-17.1</t>
        </is>
      </c>
      <c r="I37" s="5" t="inlineStr">
        <is>
          <t>UT-04.2, UT-17.1</t>
        </is>
      </c>
      <c r="J37" s="5" t="inlineStr">
        <is>
          <t>https://atlas.mitre.org/case-studies/AML.CS0032</t>
        </is>
      </c>
    </row>
    <row r="38">
      <c r="A38" s="5" t="inlineStr">
        <is>
          <t>AML.CS0033</t>
        </is>
      </c>
      <c r="B38" s="5" t="inlineStr">
        <is>
          <t>Live Deepfake Image Injection to Evade Mobile KYC Verification</t>
        </is>
      </c>
      <c r="C38" s="6" t="inlineStr">
        <is>
          <t>Exercise</t>
        </is>
      </c>
      <c r="D38" s="6" t="inlineStr">
        <is>
          <t>2024</t>
        </is>
      </c>
      <c r="E38" s="5" t="inlineStr">
        <is>
          <t>iProov Red Team</t>
        </is>
      </c>
      <c r="F38" s="5" t="inlineStr">
        <is>
          <t>Mobile facial authentication service</t>
        </is>
      </c>
      <c r="G38" s="5" t="inlineStr">
        <is>
          <t>실시간 딥페이크 영상 주입으로 모바일 KYC 얼굴인증 우회</t>
        </is>
      </c>
      <c r="H38" s="6" t="inlineStr">
        <is>
          <t>UT-04.1</t>
        </is>
      </c>
      <c r="I38" s="5" t="inlineStr">
        <is>
          <t>UT-01.1, UT-01.3, UT-02.1, UT-02.3, UT-04.1, UT-04.3, UT-17.1</t>
        </is>
      </c>
      <c r="J38" s="5" t="inlineStr">
        <is>
          <t>https://atlas.mitre.org/case-studies/AML.CS0033</t>
        </is>
      </c>
    </row>
    <row r="39">
      <c r="A39" s="5" t="inlineStr">
        <is>
          <t>AML.CS0034</t>
        </is>
      </c>
      <c r="B39" s="5" t="inlineStr">
        <is>
          <t>ProKYC: Deepfake Tool for Account Fraud Attacks</t>
        </is>
      </c>
      <c r="C39" s="6" t="inlineStr">
        <is>
          <t>Incident</t>
        </is>
      </c>
      <c r="D39" s="6" t="inlineStr">
        <is>
          <t>2024-10-09</t>
        </is>
      </c>
      <c r="E39" s="5" t="inlineStr">
        <is>
          <t>ProKYC, cybercriminal group</t>
        </is>
      </c>
      <c r="F39" s="5" t="inlineStr">
        <is>
          <t>KYC verification services</t>
        </is>
      </c>
      <c r="G39" s="5" t="inlineStr">
        <is>
          <t>KYC 우회용 딥페이크 도구 ProKYC가 범죄자에게 판매(실제 사고)</t>
        </is>
      </c>
      <c r="H39" s="6" t="inlineStr">
        <is>
          <t>UT-04.1</t>
        </is>
      </c>
      <c r="I39" s="5" t="inlineStr">
        <is>
          <t>UT-01.1, UT-01.3, UT-02.1, UT-02.3, UT-04.1, UT-04.3, UT-17.1</t>
        </is>
      </c>
      <c r="J39" s="5" t="inlineStr">
        <is>
          <t>https://atlas.mitre.org/case-studies/AML.CS0034</t>
        </is>
      </c>
    </row>
    <row r="40">
      <c r="A40" s="5" t="inlineStr">
        <is>
          <t>AML.CS0035</t>
        </is>
      </c>
      <c r="B40" s="5" t="inlineStr">
        <is>
          <t>Data Exfiltration from Slack AI via Indirect Prompt Injection</t>
        </is>
      </c>
      <c r="C40" s="6" t="inlineStr">
        <is>
          <t>Exercise</t>
        </is>
      </c>
      <c r="D40" s="6" t="inlineStr">
        <is>
          <t>2024-08-20</t>
        </is>
      </c>
      <c r="E40" s="5" t="inlineStr">
        <is>
          <t>PromptArmor</t>
        </is>
      </c>
      <c r="F40" s="5" t="inlineStr">
        <is>
          <t>Slack AI</t>
        </is>
      </c>
      <c r="G40" s="5" t="inlineStr">
        <is>
          <t>공개 채널 게시글의 간접 인젝션으로 Slack AI가 비공개 채널 데이터 유출</t>
        </is>
      </c>
      <c r="H40" s="6" t="inlineStr">
        <is>
          <t>UT-07.1</t>
        </is>
      </c>
      <c r="I40" s="5" t="inlineStr">
        <is>
          <t>UT-01.3, UT-06.3, UT-07.1, UT-07.3, UT-10.1, UT-12.2, UT-18.1, UT-19.1, UT-25.1, UT-25.4</t>
        </is>
      </c>
      <c r="J40" s="5" t="inlineStr">
        <is>
          <t>https://atlas.mitre.org/case-studies/AML.CS0035</t>
        </is>
      </c>
    </row>
    <row r="41">
      <c r="A41" s="5" t="inlineStr">
        <is>
          <t>AML.CS0036</t>
        </is>
      </c>
      <c r="B41" s="5" t="inlineStr">
        <is>
          <t>AIKatz: Attacking LLM Desktop Applications</t>
        </is>
      </c>
      <c r="C41" s="6" t="inlineStr">
        <is>
          <t>Exercise</t>
        </is>
      </c>
      <c r="D41" s="6" t="inlineStr">
        <is>
          <t>2025</t>
        </is>
      </c>
      <c r="E41" s="5" t="inlineStr">
        <is>
          <t>Lumia Security</t>
        </is>
      </c>
      <c r="F41" s="5" t="inlineStr">
        <is>
          <t>LLM Desktop Applications (Claude, ChatGPT, Copilot)</t>
        </is>
      </c>
      <c r="G41" s="5" t="inlineStr">
        <is>
          <t>LLM 데스크톱 앱 메모리에서 인증 토큰을 추출해 사용자 가장(AIKatz)</t>
        </is>
      </c>
      <c r="H41" s="6" t="inlineStr">
        <is>
          <t>UT-25.4</t>
        </is>
      </c>
      <c r="I41" s="5" t="inlineStr">
        <is>
          <t>UT-01.3, UT-01.4, UT-06.1, UT-11.1, UT-11.2, UT-11.3, UT-25.3, UT-25.4, UT-30.1, UT-32.2</t>
        </is>
      </c>
      <c r="J41" s="5" t="inlineStr">
        <is>
          <t>https://atlas.mitre.org/case-studies/AML.CS0036</t>
        </is>
      </c>
    </row>
    <row r="42">
      <c r="A42" s="5" t="inlineStr">
        <is>
          <t>AML.CS0037</t>
        </is>
      </c>
      <c r="B42" s="5" t="inlineStr">
        <is>
          <t>Data Exfiltration via Agent Tools in Copilot Studio</t>
        </is>
      </c>
      <c r="C42" s="6" t="inlineStr">
        <is>
          <t>Exercise</t>
        </is>
      </c>
      <c r="D42" s="6" t="inlineStr">
        <is>
          <t>2025-06</t>
        </is>
      </c>
      <c r="E42" s="5" t="inlineStr">
        <is>
          <t>Zenity</t>
        </is>
      </c>
      <c r="F42" s="5" t="inlineStr">
        <is>
          <t>Copilot Studio Customer Service Agent</t>
        </is>
      </c>
      <c r="G42" s="5" t="inlineStr">
        <is>
          <t>Copilot Studio 고객지원 에이전트를 인젝션해 지식원·도구를 탐색하고 CRM 데이터 유출</t>
        </is>
      </c>
      <c r="H42" s="6" t="inlineStr">
        <is>
          <t>UT-07.1</t>
        </is>
      </c>
      <c r="I42" s="5" t="inlineStr">
        <is>
          <t>UT-01.2, UT-01.3, UT-06.1, UT-06.3, UT-07.1, UT-07.2, UT-08.2, UT-12.2, UT-19.2, UT-21.2</t>
        </is>
      </c>
      <c r="J42" s="5" t="inlineStr">
        <is>
          <t>https://atlas.mitre.org/case-studies/AML.CS0037</t>
        </is>
      </c>
    </row>
    <row r="43">
      <c r="A43" s="5" t="inlineStr">
        <is>
          <t>AML.CS0038</t>
        </is>
      </c>
      <c r="B43" s="5" t="inlineStr">
        <is>
          <t>Planting Instructions for Delayed Automatic AI Agent Tool Invocation</t>
        </is>
      </c>
      <c r="C43" s="6" t="inlineStr">
        <is>
          <t>Exercise</t>
        </is>
      </c>
      <c r="D43" s="6" t="inlineStr">
        <is>
          <t>2024-02</t>
        </is>
      </c>
      <c r="E43" s="5" t="inlineStr">
        <is>
          <t>Embrace the Red</t>
        </is>
      </c>
      <c r="F43" s="5" t="inlineStr">
        <is>
          <t>Google Gemini</t>
        </is>
      </c>
      <c r="G43" s="5" t="inlineStr">
        <is>
          <t>지시 실행을 다음 대화 턴으로 지연시켜 Gemini의 도구 호출 제한 우회</t>
        </is>
      </c>
      <c r="H43" s="6" t="inlineStr">
        <is>
          <t>UT-07.1</t>
        </is>
      </c>
      <c r="I43" s="5" t="inlineStr">
        <is>
          <t>UT-06.3, UT-07.1, UT-07.2, UT-12.2, UT-21.4</t>
        </is>
      </c>
      <c r="J43" s="5" t="inlineStr">
        <is>
          <t>https://atlas.mitre.org/case-studies/AML.CS0038</t>
        </is>
      </c>
    </row>
    <row r="44">
      <c r="A44" s="5" t="inlineStr">
        <is>
          <t>AML.CS0039</t>
        </is>
      </c>
      <c r="B44" s="5" t="inlineStr">
        <is>
          <t>Living Off AI: Prompt Injection via Jira Service Management</t>
        </is>
      </c>
      <c r="C44" s="6" t="inlineStr">
        <is>
          <t>Exercise</t>
        </is>
      </c>
      <c r="D44" s="6" t="inlineStr">
        <is>
          <t>2025-06-19</t>
        </is>
      </c>
      <c r="E44" s="5" t="inlineStr">
        <is>
          <t>Cato CTRL</t>
        </is>
      </c>
      <c r="F44" s="5" t="inlineStr">
        <is>
          <t>Atlassian MCP, Jira Service Management</t>
        </is>
      </c>
      <c r="G44" s="5" t="inlineStr">
        <is>
          <t>외부 사용자가 Jira 티켓에 악성 입력을 넣어 AI가 내부자 권한으로 행위(Living off AI)</t>
        </is>
      </c>
      <c r="H44" s="6" t="inlineStr">
        <is>
          <t>UT-07.1</t>
        </is>
      </c>
      <c r="I44" s="5" t="inlineStr">
        <is>
          <t>UT-01.1, UT-06.3, UT-07.1, UT-12.2, UT-19.2, UT-21.4, UT-26.1</t>
        </is>
      </c>
      <c r="J44" s="5" t="inlineStr">
        <is>
          <t>https://atlas.mitre.org/case-studies/AML.CS0039</t>
        </is>
      </c>
    </row>
    <row r="45">
      <c r="A45" s="5" t="inlineStr">
        <is>
          <t>AML.CS0040</t>
        </is>
      </c>
      <c r="B45" s="5" t="inlineStr">
        <is>
          <t>Hacking ChatGPT's Memories with Prompt Injection</t>
        </is>
      </c>
      <c r="C45" s="6" t="inlineStr">
        <is>
          <t>Exercise</t>
        </is>
      </c>
      <c r="D45" s="6" t="inlineStr">
        <is>
          <t>2024-02</t>
        </is>
      </c>
      <c r="E45" s="5" t="inlineStr">
        <is>
          <t>Embrace the Red</t>
        </is>
      </c>
      <c r="F45" s="5" t="inlineStr">
        <is>
          <t>OpenAI ChatGPT</t>
        </is>
      </c>
      <c r="G45" s="5" t="inlineStr">
        <is>
          <t>공유 문서의 인젝션으로 ChatGPT 장기 메모리에 허위 정보를 영구 기록</t>
        </is>
      </c>
      <c r="H45" s="6" t="inlineStr">
        <is>
          <t>UT-11.1</t>
        </is>
      </c>
      <c r="I45" s="5" t="inlineStr">
        <is>
          <t>UT-06.3, UT-07.1, UT-11.1</t>
        </is>
      </c>
      <c r="J45" s="5" t="inlineStr">
        <is>
          <t>https://atlas.mitre.org/case-studies/AML.CS0040</t>
        </is>
      </c>
    </row>
    <row r="46">
      <c r="A46" s="5" t="inlineStr">
        <is>
          <t>AML.CS0041</t>
        </is>
      </c>
      <c r="B46" s="5" t="inlineStr">
        <is>
          <t>Rules File Backdoor: Supply Chain Attack on AI Coding Assistants</t>
        </is>
      </c>
      <c r="C46" s="6" t="inlineStr">
        <is>
          <t>Exercise</t>
        </is>
      </c>
      <c r="D46" s="6" t="inlineStr">
        <is>
          <t>2025-03-18</t>
        </is>
      </c>
      <c r="E46" s="5" t="inlineStr">
        <is>
          <t>Pillar Security</t>
        </is>
      </c>
      <c r="F46" s="5" t="inlineStr">
        <is>
          <t>Cursor, GitHub Copilot</t>
        </is>
      </c>
      <c r="G46" s="5" t="inlineStr">
        <is>
          <t>AI 코딩도구 규칙 파일에 보이지 않는 유니코드 지시를 숨겨 악성 코드 생성 유도</t>
        </is>
      </c>
      <c r="H46" s="6" t="inlineStr">
        <is>
          <t>UT-28.2</t>
        </is>
      </c>
      <c r="I46" s="5" t="inlineStr">
        <is>
          <t>UT-02.3, UT-06.1, UT-06.2, UT-06.3, UT-06.4, UT-24.3, UT-28.2, UT-32.3, UT-34.1</t>
        </is>
      </c>
      <c r="J46" s="5" t="inlineStr">
        <is>
          <t>https://atlas.mitre.org/case-studies/AML.CS0041</t>
        </is>
      </c>
    </row>
    <row r="47">
      <c r="A47" s="5" t="inlineStr">
        <is>
          <t>AML.CS0042</t>
        </is>
      </c>
      <c r="B47" s="5" t="inlineStr">
        <is>
          <t>SesameOp: Novel backdoor uses OpenAI Assistants API for command and control</t>
        </is>
      </c>
      <c r="C47" s="6" t="inlineStr">
        <is>
          <t>Incident</t>
        </is>
      </c>
      <c r="D47" s="6" t="inlineStr">
        <is>
          <t>2025-07</t>
        </is>
      </c>
      <c r="E47" s="5" t="inlineStr">
        <is>
          <t>Unknown Threat Actor</t>
        </is>
      </c>
      <c r="F47" s="5" t="inlineStr">
        <is>
          <t>OpenAI Assistants API</t>
        </is>
      </c>
      <c r="G47" s="5" t="inlineStr">
        <is>
          <t>OpenAI Assistants API를 은밀한 C2 채널로 악용한 백도어 SesameOp(실제 사고)</t>
        </is>
      </c>
      <c r="H47" s="6" t="inlineStr">
        <is>
          <t>UT-05.1</t>
        </is>
      </c>
      <c r="I47" s="5" t="inlineStr">
        <is>
          <t>UT-05.1</t>
        </is>
      </c>
      <c r="J47" s="5" t="inlineStr">
        <is>
          <t>https://atlas.mitre.org/case-studies/AML.CS0042</t>
        </is>
      </c>
    </row>
    <row r="48">
      <c r="A48" s="5" t="inlineStr">
        <is>
          <t>AML.CS0043</t>
        </is>
      </c>
      <c r="B48" s="5" t="inlineStr">
        <is>
          <t>Malware Prototype with Embedded Prompt Injection</t>
        </is>
      </c>
      <c r="C48" s="6" t="inlineStr">
        <is>
          <t>Incident</t>
        </is>
      </c>
      <c r="D48" s="6" t="inlineStr">
        <is>
          <t>2025-06-25</t>
        </is>
      </c>
      <c r="E48" s="5" t="inlineStr">
        <is>
          <t>Unknown Threat Actor</t>
        </is>
      </c>
      <c r="F48" s="5" t="inlineStr">
        <is>
          <t>LLM malware detectors, LLM malware analysis and reverse engineering tools</t>
        </is>
      </c>
      <c r="G48" s="5" t="inlineStr">
        <is>
          <t>LLM 기반 악성코드 분석기를 속이려 프롬프트 인젝션을 내장한 악성코드(실제 사고)</t>
        </is>
      </c>
      <c r="H48" s="6" t="inlineStr">
        <is>
          <t>UT-06.1</t>
        </is>
      </c>
      <c r="I48" s="5" t="inlineStr">
        <is>
          <t>UT-02.1, UT-02.5, UT-02.6, UT-06.1, UT-06.3, UT-17.1, UT-25.1</t>
        </is>
      </c>
      <c r="J48" s="5" t="inlineStr">
        <is>
          <t>https://atlas.mitre.org/case-studies/AML.CS0043</t>
        </is>
      </c>
    </row>
    <row r="49">
      <c r="A49" s="5" t="inlineStr">
        <is>
          <t>AML.CS0044</t>
        </is>
      </c>
      <c r="B49" s="5" t="inlineStr">
        <is>
          <t>LAMEHUG: Malware Leveraging Dynamic AI-Generated Commands</t>
        </is>
      </c>
      <c r="C49" s="6" t="inlineStr">
        <is>
          <t>Incident</t>
        </is>
      </c>
      <c r="D49" s="6" t="inlineStr">
        <is>
          <t>2025-06</t>
        </is>
      </c>
      <c r="E49" s="5" t="inlineStr">
        <is>
          <t>APT28</t>
        </is>
      </c>
      <c r="F49" s="5" t="inlineStr">
        <is>
          <t>Ukraine's security and defense sector</t>
        </is>
      </c>
      <c r="G49" s="5" t="inlineStr">
        <is>
          <t>APT28 LAMEHUG가 LLM API로 실행 명령을 동적 생성(실제 사고)</t>
        </is>
      </c>
      <c r="H49" s="6" t="inlineStr">
        <is>
          <t>UT-03.3</t>
        </is>
      </c>
      <c r="I49" s="5" t="inlineStr">
        <is>
          <t>UT-02.6, UT-03.3, UT-04.2, UT-04.3, UT-22.2, UT-25.4, UT-28.4</t>
        </is>
      </c>
      <c r="J49" s="5" t="inlineStr">
        <is>
          <t>https://atlas.mitre.org/case-studies/AML.CS0044</t>
        </is>
      </c>
    </row>
    <row r="50">
      <c r="A50" s="5" t="inlineStr">
        <is>
          <t>AML.CS0045</t>
        </is>
      </c>
      <c r="B50" s="5" t="inlineStr">
        <is>
          <t>Data Exfiltration via an MCP Server used by Cursor</t>
        </is>
      </c>
      <c r="C50" s="6" t="inlineStr">
        <is>
          <t>Exercise</t>
        </is>
      </c>
      <c r="D50" s="6" t="inlineStr">
        <is>
          <t>2025-06-24</t>
        </is>
      </c>
      <c r="E50" s="5" t="inlineStr">
        <is>
          <t>Backslash Security Research Team</t>
        </is>
      </c>
      <c r="F50" s="5" t="inlineStr">
        <is>
          <t>Cursor</t>
        </is>
      </c>
      <c r="G50" s="5" t="inlineStr">
        <is>
          <t>MCP 스크래핑 도구가 가져온 악성 웹페이지의 간접 인젝션으로 Cursor에서 셸 명령 실행·데이터 유출</t>
        </is>
      </c>
      <c r="H50" s="6" t="inlineStr">
        <is>
          <t>UT-07.1</t>
        </is>
      </c>
      <c r="I50" s="5" t="inlineStr">
        <is>
          <t>UT-02.3, UT-02.4, UT-06.3, UT-07.1, UT-19.2, UT-21.4, UT-22.1, UT-25.1</t>
        </is>
      </c>
      <c r="J50" s="5" t="inlineStr">
        <is>
          <t>https://atlas.mitre.org/case-studies/AML.CS0045</t>
        </is>
      </c>
    </row>
    <row r="51">
      <c r="A51" s="5" t="inlineStr">
        <is>
          <t>AML.CS0046</t>
        </is>
      </c>
      <c r="B51" s="5" t="inlineStr">
        <is>
          <t>Data Destruction via Indirect Prompt Injection Targeting Claude Computer-Use</t>
        </is>
      </c>
      <c r="C51" s="6" t="inlineStr">
        <is>
          <t>Exercise</t>
        </is>
      </c>
      <c r="D51" s="6" t="inlineStr">
        <is>
          <t>2024-10-24</t>
        </is>
      </c>
      <c r="E51" s="5" t="inlineStr">
        <is>
          <t>HiddenLayer</t>
        </is>
      </c>
      <c r="F51" s="5" t="inlineStr">
        <is>
          <t>Claude Computer Use Agent</t>
        </is>
      </c>
      <c r="G51" s="5" t="inlineStr">
        <is>
          <t>웹페이지 인젝션으로 Claude Computer Use가 셸 명령으로 사용자 데이터 삭제</t>
        </is>
      </c>
      <c r="H51" s="6" t="inlineStr">
        <is>
          <t>UT-07.1</t>
        </is>
      </c>
      <c r="I51" s="5" t="inlineStr">
        <is>
          <t>UT-06.2, UT-06.3, UT-07.1, UT-21.4, UT-21.5, UT-22.1</t>
        </is>
      </c>
      <c r="J51" s="5" t="inlineStr">
        <is>
          <t>https://atlas.mitre.org/case-studies/AML.CS0046</t>
        </is>
      </c>
    </row>
    <row r="52">
      <c r="A52" s="5" t="inlineStr">
        <is>
          <t>AML.CS0047</t>
        </is>
      </c>
      <c r="B52" s="5" t="inlineStr">
        <is>
          <t>Code to Deploy Destructive AI Agent Discovered in Amazon Q VS Code Extension</t>
        </is>
      </c>
      <c r="C52" s="6" t="inlineStr">
        <is>
          <t>Incident</t>
        </is>
      </c>
      <c r="D52" s="6" t="inlineStr">
        <is>
          <t>2025-07-13</t>
        </is>
      </c>
      <c r="E52" s="5" t="inlineStr">
        <is>
          <t>lkmanka58 (GitHub user)</t>
        </is>
      </c>
      <c r="F52" s="5" t="inlineStr">
        <is>
          <t>Amazon Q VS Code Extension</t>
        </is>
      </c>
      <c r="G52" s="5" t="inlineStr">
        <is>
          <t>과권한 GitHub 토큰으로 Amazon Q VS Code 확장에 파괴형 에이전트 지시 커밋(실제 사고)</t>
        </is>
      </c>
      <c r="H52" s="6" t="inlineStr">
        <is>
          <t>UT-28.2</t>
        </is>
      </c>
      <c r="I52" s="5" t="inlineStr">
        <is>
          <t>UT-06.1, UT-06.3, UT-21.5, UT-24.2, UT-25.1, UT-28.2, UT-32.3</t>
        </is>
      </c>
      <c r="J52" s="5" t="inlineStr">
        <is>
          <t>https://atlas.mitre.org/case-studies/AML.CS0047</t>
        </is>
      </c>
    </row>
    <row r="53">
      <c r="A53" s="5" t="inlineStr">
        <is>
          <t>AML.CS0048</t>
        </is>
      </c>
      <c r="B53" s="5" t="inlineStr">
        <is>
          <t>Exposed ClawdBot Control Interfaces Leads to Credential Access and Execution</t>
        </is>
      </c>
      <c r="C53" s="6" t="inlineStr">
        <is>
          <t>Exercise</t>
        </is>
      </c>
      <c r="D53" s="6" t="inlineStr">
        <is>
          <t>2026-01-25</t>
        </is>
      </c>
      <c r="E53" s="5" t="inlineStr">
        <is>
          <t>Jamieson O'Reilly</t>
        </is>
      </c>
      <c r="F53" s="5" t="inlineStr">
        <is>
          <t>ClawdBot (now OpenClaw)</t>
        </is>
      </c>
      <c r="G53" s="5" t="inlineStr">
        <is>
          <t>인터넷에 노출된 ClawdBot 제어 인터페이스 수백 개에서 자격증명 탈취·명령 실행</t>
        </is>
      </c>
      <c r="H53" s="6" t="inlineStr">
        <is>
          <t>UT-31.1</t>
        </is>
      </c>
      <c r="I53" s="5" t="inlineStr">
        <is>
          <t>UT-01.1, UT-02.6, UT-07.1, UT-08.1, UT-11.3, UT-21.4, UT-22.1, UT-25.1, UT-25.2, UT-31.1</t>
        </is>
      </c>
      <c r="J53" s="5" t="inlineStr">
        <is>
          <t>https://atlas.mitre.org/case-studies/AML.CS0048</t>
        </is>
      </c>
    </row>
    <row r="54">
      <c r="A54" s="5" t="inlineStr">
        <is>
          <t>AML.CS0049</t>
        </is>
      </c>
      <c r="B54" s="5" t="inlineStr">
        <is>
          <t>Supply Chain Compromise via Poisoned ClawdBot Skill</t>
        </is>
      </c>
      <c r="C54" s="6" t="inlineStr">
        <is>
          <t>Exercise</t>
        </is>
      </c>
      <c r="D54" s="6" t="inlineStr">
        <is>
          <t>2026-01-26</t>
        </is>
      </c>
      <c r="E54" s="5" t="inlineStr">
        <is>
          <t>Jamieson O'Reilly</t>
        </is>
      </c>
      <c r="F54" s="5" t="inlineStr">
        <is>
          <t>ClawdBot (now OpenClaw)</t>
        </is>
      </c>
      <c r="G54" s="5" t="inlineStr">
        <is>
          <t>스킬 레지스트리에 올린 오염된 ClawdBot 스킬로 원격 코드 실행</t>
        </is>
      </c>
      <c r="H54" s="6" t="inlineStr">
        <is>
          <t>UT-29.2</t>
        </is>
      </c>
      <c r="I54" s="5" t="inlineStr">
        <is>
          <t>UT-02.1, UT-02.3, UT-06.3, UT-07.1, UT-21.4, UT-22.1, UT-28.4, UT-29.1, UT-29.2</t>
        </is>
      </c>
      <c r="J54" s="5" t="inlineStr">
        <is>
          <t>https://atlas.mitre.org/case-studies/AML.CS0049</t>
        </is>
      </c>
    </row>
    <row r="55">
      <c r="A55" s="5" t="inlineStr">
        <is>
          <t>AML.CS0050</t>
        </is>
      </c>
      <c r="B55" s="5" t="inlineStr">
        <is>
          <t>OpenClaw 1-Click Remote Code Execution</t>
        </is>
      </c>
      <c r="C55" s="6" t="inlineStr">
        <is>
          <t>Exercise</t>
        </is>
      </c>
      <c r="D55" s="6" t="inlineStr">
        <is>
          <t>2026-02-01</t>
        </is>
      </c>
      <c r="E55" s="5" t="inlineStr">
        <is>
          <t>DepthFirst</t>
        </is>
      </c>
      <c r="F55" s="5" t="inlineStr">
        <is>
          <t>OpenClaw</t>
        </is>
      </c>
      <c r="G55" s="5" t="inlineStr">
        <is>
          <t>악성 링크 1회 클릭으로 OpenClaw 로컬 에이전트 원격 코드 실행</t>
        </is>
      </c>
      <c r="H55" s="6" t="inlineStr">
        <is>
          <t>UT-22.1</t>
        </is>
      </c>
      <c r="I55" s="5" t="inlineStr">
        <is>
          <t>UT-02.1, UT-02.3, UT-02.4, UT-02.5, UT-22.1, UT-22.3, UT-24.3, UT-25.3, UT-25.4, UT-32.2</t>
        </is>
      </c>
      <c r="J55" s="5" t="inlineStr">
        <is>
          <t>https://atlas.mitre.org/case-studies/AML.CS0050</t>
        </is>
      </c>
    </row>
    <row r="56">
      <c r="A56" s="5" t="inlineStr">
        <is>
          <t>AML.CS0051</t>
        </is>
      </c>
      <c r="B56" s="5" t="inlineStr">
        <is>
          <t>OpenClaw Command &amp; Control via Prompt Injection</t>
        </is>
      </c>
      <c r="C56" s="6" t="inlineStr">
        <is>
          <t>Exercise</t>
        </is>
      </c>
      <c r="D56" s="6" t="inlineStr">
        <is>
          <t>2026-02-03</t>
        </is>
      </c>
      <c r="E56" s="5" t="inlineStr">
        <is>
          <t>HiddenLayer</t>
        </is>
      </c>
      <c r="F56" s="5" t="inlineStr">
        <is>
          <t>OpenClaw</t>
        </is>
      </c>
      <c r="G56" s="5" t="inlineStr">
        <is>
          <t>웹페이지 인젝션으로 OpenClaw에 지속 지시를 심어 C2로 활용</t>
        </is>
      </c>
      <c r="H56" s="6" t="inlineStr">
        <is>
          <t>UT-07.1</t>
        </is>
      </c>
      <c r="I56" s="5" t="inlineStr">
        <is>
          <t>UT-01.1, UT-02.2, UT-02.3, UT-02.4, UT-05.2, UT-06.1, UT-06.2, UT-06.3, UT-07.1, UT-08.1, UT-11.2, UT-21.4, UT-24.3, UT-28.4, UT-32.2</t>
        </is>
      </c>
      <c r="J56" s="5" t="inlineStr">
        <is>
          <t>https://atlas.mitre.org/case-studies/AML.CS0051</t>
        </is>
      </c>
    </row>
    <row r="57">
      <c r="A57" s="5" t="inlineStr">
        <is>
          <t>AML.CS0052</t>
        </is>
      </c>
      <c r="B57" s="5" t="inlineStr">
        <is>
          <t>LLMSmith: RCE Vulnerabilities in LLM-Integrated Applications</t>
        </is>
      </c>
      <c r="C57" s="6" t="inlineStr">
        <is>
          <t>Exercise</t>
        </is>
      </c>
      <c r="D57" s="6" t="inlineStr">
        <is>
          <t>2025-02-27</t>
        </is>
      </c>
      <c r="E57" s="5" t="inlineStr">
        <is>
          <t>Researchers at University of Chinese Academy of Sciences, Shandong University, and University of New South Wales</t>
        </is>
      </c>
      <c r="F57" s="5" t="inlineStr">
        <is>
          <t>LLM Integration Frameworks</t>
        </is>
      </c>
      <c r="G57" s="5" t="inlineStr">
        <is>
          <t>11개 LLM 프레임워크에서 20개 RCE 취약점 발견, 인터넷 공개 앱에서 실증(LLMSmith)</t>
        </is>
      </c>
      <c r="H57" s="6" t="inlineStr">
        <is>
          <t>UT-22.1</t>
        </is>
      </c>
      <c r="I57" s="5" t="inlineStr">
        <is>
          <t>UT-01.1, UT-02.1, UT-02.4, UT-02.6, UT-06.1, UT-06.2, UT-06.3, UT-08.2, UT-18.3, UT-21.4, UT-22.1, UT-22.3, UT-32.2</t>
        </is>
      </c>
      <c r="J57" s="5" t="inlineStr">
        <is>
          <t>https://atlas.mitre.org/case-studies/AML.CS0052</t>
        </is>
      </c>
    </row>
    <row r="58">
      <c r="A58" s="5" t="inlineStr">
        <is>
          <t>AML.CS0053</t>
        </is>
      </c>
      <c r="B58" s="5" t="inlineStr">
        <is>
          <t>Poisoned Postmark MCP Server Email Exfiltration</t>
        </is>
      </c>
      <c r="C58" s="6" t="inlineStr">
        <is>
          <t>Incident</t>
        </is>
      </c>
      <c r="D58" s="6" t="inlineStr">
        <is>
          <t>2025-09</t>
        </is>
      </c>
      <c r="E58" s="5" t="inlineStr">
        <is>
          <t>Unknown Bad Actor</t>
        </is>
      </c>
      <c r="F58" s="5" t="inlineStr">
        <is>
          <t>Postmark MCP Server</t>
        </is>
      </c>
      <c r="G58" s="5" t="inlineStr">
        <is>
          <t>Postmark를 사칭한 악성 MCP 서버가 발송 메일을 몰래 BCC로 유출(실제 사고)</t>
        </is>
      </c>
      <c r="H58" s="6" t="inlineStr">
        <is>
          <t>UT-29.2</t>
        </is>
      </c>
      <c r="I58" s="5" t="inlineStr">
        <is>
          <t>UT-02.1, UT-04.3, UT-19.2, UT-28.4, UT-29.2</t>
        </is>
      </c>
      <c r="J58" s="5" t="inlineStr">
        <is>
          <t>https://atlas.mitre.org/case-studies/AML.CS0053</t>
        </is>
      </c>
    </row>
    <row r="59">
      <c r="A59" s="5" t="inlineStr">
        <is>
          <t>AML.CS0054</t>
        </is>
      </c>
      <c r="B59" s="5" t="inlineStr">
        <is>
          <t>Data Exfiltration via Remote Poisoned MCP Tool</t>
        </is>
      </c>
      <c r="C59" s="6" t="inlineStr">
        <is>
          <t>Exercise</t>
        </is>
      </c>
      <c r="D59" s="6" t="inlineStr">
        <is>
          <t>2025-04-01</t>
        </is>
      </c>
      <c r="E59" s="5" t="inlineStr">
        <is>
          <t>Invariant Labs</t>
        </is>
      </c>
      <c r="F59" s="5" t="inlineStr">
        <is>
          <t>Model Context Protocol</t>
        </is>
      </c>
      <c r="G59" s="5" t="inlineStr">
        <is>
          <t>원격 MCP 도구 설명문의 숨은 지시로 에이전트가 파일·데이터 유출</t>
        </is>
      </c>
      <c r="H59" s="6" t="inlineStr">
        <is>
          <t>UT-29.2</t>
        </is>
      </c>
      <c r="I59" s="5" t="inlineStr">
        <is>
          <t>UT-06.3, UT-07.1, UT-19.2, UT-21.4, UT-25.1, UT-25.2, UT-29.1, UT-29.2</t>
        </is>
      </c>
      <c r="J59" s="5" t="inlineStr">
        <is>
          <t>https://atlas.mitre.org/case-studies/AML.CS0054</t>
        </is>
      </c>
    </row>
    <row r="60">
      <c r="A60" s="5" t="inlineStr">
        <is>
          <t>AML.CS0055</t>
        </is>
      </c>
      <c r="B60" s="5" t="inlineStr">
        <is>
          <t>AI ClickFix: Hijacking Computer-Use Agents Using ClickFix</t>
        </is>
      </c>
      <c r="C60" s="6" t="inlineStr">
        <is>
          <t>Exercise</t>
        </is>
      </c>
      <c r="D60" s="6" t="inlineStr">
        <is>
          <t>2025-05-24</t>
        </is>
      </c>
      <c r="E60" s="5" t="inlineStr">
        <is>
          <t>Embrace the Red</t>
        </is>
      </c>
      <c r="F60" s="5" t="inlineStr">
        <is>
          <t>Claude Computer-Use Agent</t>
        </is>
      </c>
      <c r="G60" s="5" t="inlineStr">
        <is>
          <t>ClickFix 사회공학으로 컴퓨터 사용 에이전트가 악성 명령 실행</t>
        </is>
      </c>
      <c r="H60" s="6" t="inlineStr">
        <is>
          <t>UT-07.1</t>
        </is>
      </c>
      <c r="I60" s="5" t="inlineStr">
        <is>
          <t>UT-02.1, UT-02.3, UT-02.4, UT-07.1, UT-07.4, UT-21.4, UT-22.1, UT-32.2</t>
        </is>
      </c>
      <c r="J60" s="5" t="inlineStr">
        <is>
          <t>https://atlas.mitre.org/case-studies/AML.CS0055</t>
        </is>
      </c>
    </row>
    <row r="61">
      <c r="A61" s="5" t="inlineStr">
        <is>
          <t>AML.CS0056</t>
        </is>
      </c>
      <c r="B61" s="5" t="inlineStr">
        <is>
          <t>Model Distillation Campaigns Targeting Anthropic Claude</t>
        </is>
      </c>
      <c r="C61" s="6" t="inlineStr">
        <is>
          <t>Incident</t>
        </is>
      </c>
      <c r="D61" s="6" t="inlineStr">
        <is>
          <t>2026-02-23</t>
        </is>
      </c>
      <c r="E61" s="5" t="inlineStr">
        <is>
          <t>DeepSeek, Moonshot AI, MiniMax</t>
        </is>
      </c>
      <c r="F61" s="5" t="inlineStr">
        <is>
          <t>Anthropic Claude</t>
        </is>
      </c>
      <c r="G61" s="5" t="inlineStr">
        <is>
          <t>약 2.4만 계정·1,600만 쿼리로 Claude 능력을 증류하려는 캠페인 적발(실제 사고)</t>
        </is>
      </c>
      <c r="H61" s="6" t="inlineStr">
        <is>
          <t>UT-16.1</t>
        </is>
      </c>
      <c r="I61" s="5" t="inlineStr">
        <is>
          <t>UT-01.3, UT-02.3, UT-06.3, UT-16.1</t>
        </is>
      </c>
      <c r="J61" s="5" t="inlineStr">
        <is>
          <t>https://atlas.mitre.org/case-studies/AML.CS0056</t>
        </is>
      </c>
    </row>
    <row r="62">
      <c r="A62" s="5" t="inlineStr">
        <is>
          <t>AML.CS0057</t>
        </is>
      </c>
      <c r="B62" s="5" t="inlineStr">
        <is>
          <t>Storm-2139 Azure OpenAI Guardrail Bypass</t>
        </is>
      </c>
      <c r="C62" s="6" t="inlineStr">
        <is>
          <t>Incident</t>
        </is>
      </c>
      <c r="D62" s="6" t="inlineStr">
        <is>
          <t>2024-12</t>
        </is>
      </c>
      <c r="E62" s="5" t="inlineStr">
        <is>
          <t>Storm-2139</t>
        </is>
      </c>
      <c r="F62" s="5" t="inlineStr">
        <is>
          <t>Microsoft Azure OpenAI Service</t>
        </is>
      </c>
      <c r="G62" s="5" t="inlineStr">
        <is>
          <t>Storm-2139가 노출 자격증명과 탈옥 도구로 Azure OpenAI 가드레일 우회·접근권 재판매(실제 사고)</t>
        </is>
      </c>
      <c r="H62" s="6" t="inlineStr">
        <is>
          <t>UT-06.2</t>
        </is>
      </c>
      <c r="I62" s="5" t="inlineStr">
        <is>
          <t>UT-01.3, UT-02.1, UT-02.3, UT-04.1, UT-06.2, UT-25.4</t>
        </is>
      </c>
      <c r="J62" s="5" t="inlineStr">
        <is>
          <t>https://atlas.mitre.org/case-studies/AML.CS0057</t>
        </is>
      </c>
    </row>
    <row r="63">
      <c r="A63" s="5" t="inlineStr">
        <is>
          <t>AML.CS0058</t>
        </is>
      </c>
      <c r="B63" s="5" t="inlineStr">
        <is>
          <t>Google Photos AI Model Extraction</t>
        </is>
      </c>
      <c r="C63" s="6" t="inlineStr">
        <is>
          <t>Exercise</t>
        </is>
      </c>
      <c r="D63" s="6" t="inlineStr">
        <is>
          <t>2025-03</t>
        </is>
      </c>
      <c r="E63" s="5" t="inlineStr">
        <is>
          <t>Skyld</t>
        </is>
      </c>
      <c r="F63" s="5" t="inlineStr">
        <is>
          <t>Google Photos Android App</t>
        </is>
      </c>
      <c r="G63" s="5" t="inlineStr">
        <is>
          <t>Google Photos 앱에서 암호화되지 않은 TFLite 모델을 추출</t>
        </is>
      </c>
      <c r="H63" s="6" t="inlineStr">
        <is>
          <t>UT-16.2</t>
        </is>
      </c>
      <c r="I63" s="5" t="inlineStr">
        <is>
          <t>UT-01.3, UT-01.4, UT-02.6, UT-16.2, UT-17.1</t>
        </is>
      </c>
      <c r="J63" s="5" t="inlineStr">
        <is>
          <t>https://atlas.mitre.org/case-studies/AML.CS0058</t>
        </is>
      </c>
    </row>
    <row r="64">
      <c r="A64" s="5" t="inlineStr">
        <is>
          <t>AML.CS0059</t>
        </is>
      </c>
      <c r="B64" s="5" t="inlineStr">
        <is>
          <t>EchoLeak: Zero-Click Prompt Injection Targeting M365 Copilot for Data Exfiltration</t>
        </is>
      </c>
      <c r="C64" s="6" t="inlineStr">
        <is>
          <t>Exercise</t>
        </is>
      </c>
      <c r="D64" s="6" t="inlineStr">
        <is>
          <t>2025-05</t>
        </is>
      </c>
      <c r="E64" s="5" t="inlineStr">
        <is>
          <t>Aim Labs</t>
        </is>
      </c>
      <c r="F64" s="5" t="inlineStr">
        <is>
          <t>Microsoft 365 Copilot</t>
        </is>
      </c>
      <c r="G64" s="5" t="inlineStr">
        <is>
          <t>EchoLeak: 메일 한 통으로 M365 Copilot이 사용자 조작 없이 기업 데이터 유출(제로클릭)</t>
        </is>
      </c>
      <c r="H64" s="6" t="inlineStr">
        <is>
          <t>UT-07.1</t>
        </is>
      </c>
      <c r="I64" s="5" t="inlineStr">
        <is>
          <t>UT-02.3, UT-02.6, UT-06.3, UT-07.1, UT-07.2, UT-07.3, UT-10.1, UT-12.2, UT-18.1, UT-19.1, UT-34.1</t>
        </is>
      </c>
      <c r="J64" s="5" t="inlineStr">
        <is>
          <t>https://atlas.mitre.org/case-studies/AML.CS0059</t>
        </is>
      </c>
    </row>
    <row r="65">
      <c r="A65" s="5" t="inlineStr">
        <is>
          <t>AML.CS0060</t>
        </is>
      </c>
      <c r="B65" s="5" t="inlineStr">
        <is>
          <t>Cross-Site Scripting via Prompt Manipulation in Lenovo AI Chatbot</t>
        </is>
      </c>
      <c r="C65" s="6" t="inlineStr">
        <is>
          <t>Exercise</t>
        </is>
      </c>
      <c r="D65" s="6" t="inlineStr">
        <is>
          <t>2025-08-18</t>
        </is>
      </c>
      <c r="E65" s="5" t="inlineStr">
        <is>
          <t>Cybernews Research Team</t>
        </is>
      </c>
      <c r="F65" s="5" t="inlineStr">
        <is>
          <t>Lenovo AI chatbot, "Lena"</t>
        </is>
      </c>
      <c r="G65" s="5" t="inlineStr">
        <is>
          <t>Lenovo 챗봇이 생성한 악성 HTML이 상담원 브라우저에서 실행되어 세션 쿠키 탈취(XSS)</t>
        </is>
      </c>
      <c r="H65" s="6" t="inlineStr">
        <is>
          <t>UT-18.1</t>
        </is>
      </c>
      <c r="I65" s="5" t="inlineStr">
        <is>
          <t>UT-01.3, UT-02.3, UT-06.1, UT-06.3, UT-07.1, UT-18.1, UT-22.1, UT-22.2, UT-25.3, UT-25.4</t>
        </is>
      </c>
      <c r="J65" s="5" t="inlineStr">
        <is>
          <t>https://atlas.mitre.org/case-studies/AML.CS0060</t>
        </is>
      </c>
    </row>
    <row r="66">
      <c r="A66" s="5" t="inlineStr">
        <is>
          <t>AML.CS0061</t>
        </is>
      </c>
      <c r="B66" s="5" t="inlineStr">
        <is>
          <t>AI in the Middle: Web-Based AI Services as C2 Relays</t>
        </is>
      </c>
      <c r="C66" s="6" t="inlineStr">
        <is>
          <t>Exercise</t>
        </is>
      </c>
      <c r="D66" s="6" t="inlineStr">
        <is>
          <t>2026-02-17</t>
        </is>
      </c>
      <c r="E66" s="5" t="inlineStr">
        <is>
          <t>Check Point Research</t>
        </is>
      </c>
      <c r="F66" s="5" t="inlineStr">
        <is>
          <t>Enterprise machines with Grok and Microsoft Copilot access</t>
        </is>
      </c>
      <c r="G66" s="5" t="inlineStr">
        <is>
          <t>익명 웹 AI 비서의 URL 조회 기능을 악성코드 C2 중계로 악용(AI in the Middle)</t>
        </is>
      </c>
      <c r="H66" s="6" t="inlineStr">
        <is>
          <t>UT-05.2</t>
        </is>
      </c>
      <c r="I66" s="5" t="inlineStr">
        <is>
          <t>UT-01.1, UT-01.3, UT-02.3, UT-02.6, UT-05.2, UT-06.3, UT-19.2, UT-22.1</t>
        </is>
      </c>
      <c r="J66" s="5" t="inlineStr">
        <is>
          <t>https://atlas.mitre.org/case-studies/AML.CS0061</t>
        </is>
      </c>
    </row>
    <row r="67">
      <c r="A67" s="5" t="inlineStr">
        <is>
          <t>AML.CS0062</t>
        </is>
      </c>
      <c r="B67" s="5" t="inlineStr">
        <is>
          <t>RCE Vulnerability in Semantic Kernel Search Plugin</t>
        </is>
      </c>
      <c r="C67" s="6" t="inlineStr">
        <is>
          <t>Exercise</t>
        </is>
      </c>
      <c r="D67" s="6" t="inlineStr">
        <is>
          <t>2026-05-07</t>
        </is>
      </c>
      <c r="E67" s="5" t="inlineStr">
        <is>
          <t>Microsoft Defender Security Research Team</t>
        </is>
      </c>
      <c r="F67" s="5" t="inlineStr">
        <is>
          <t>Semantic Kernel</t>
        </is>
      </c>
      <c r="G67" s="5" t="inlineStr">
        <is>
          <t>Semantic Kernel 검색 플러그인에서 단일 인젝션으로 원격 코드 실행</t>
        </is>
      </c>
      <c r="H67" s="6" t="inlineStr">
        <is>
          <t>UT-22.1</t>
        </is>
      </c>
      <c r="I67" s="5" t="inlineStr">
        <is>
          <t>UT-01.3, UT-06.1, UT-06.3, UT-07.1, UT-21.4, UT-22.1, UT-22.3</t>
        </is>
      </c>
      <c r="J67" s="5" t="inlineStr">
        <is>
          <t>https://atlas.mitre.org/case-studies/AML.CS0062</t>
        </is>
      </c>
    </row>
    <row r="68">
      <c r="A68" s="5" t="inlineStr">
        <is>
          <t>AML.CS0063</t>
        </is>
      </c>
      <c r="B68" s="5" t="inlineStr">
        <is>
          <t>Prompt-Based Attacks Against Gemini via Calendar Invitations</t>
        </is>
      </c>
      <c r="C68" s="6" t="inlineStr">
        <is>
          <t>Exercise</t>
        </is>
      </c>
      <c r="D68" s="6" t="inlineStr">
        <is>
          <t>2025-08-06</t>
        </is>
      </c>
      <c r="E68" s="5" t="inlineStr">
        <is>
          <t>SafeBreach Research Team</t>
        </is>
      </c>
      <c r="F68" s="5" t="inlineStr">
        <is>
          <t>Google Gemini</t>
        </is>
      </c>
      <c r="G68" s="5" t="inlineStr">
        <is>
          <t>캘린더 초대·메일에 숨긴 지시로 Gemini 비서가 기기·앱을 조작</t>
        </is>
      </c>
      <c r="H68" s="6" t="inlineStr">
        <is>
          <t>UT-07.5</t>
        </is>
      </c>
      <c r="I68" s="5" t="inlineStr">
        <is>
          <t>UT-01.2, UT-02.6, UT-06.2, UT-06.3, UT-07.1, UT-07.2, UT-07.5, UT-08.2, UT-11.2, UT-12.2, UT-19.2, UT-21.4, UT-21.5</t>
        </is>
      </c>
      <c r="J68" s="5" t="inlineStr">
        <is>
          <t>https://atlas.mitre.org/case-studies/AML.CS0063</t>
        </is>
      </c>
    </row>
    <row r="69">
      <c r="A69" s="5" t="inlineStr">
        <is>
          <t>AML.CS0064</t>
        </is>
      </c>
      <c r="B69" s="5" t="inlineStr">
        <is>
          <t>Poisoned GGUF Templates: Inference-Time Supply Chain Attack</t>
        </is>
      </c>
      <c r="C69" s="6" t="inlineStr">
        <is>
          <t>Exercise</t>
        </is>
      </c>
      <c r="D69" s="6" t="inlineStr">
        <is>
          <t>2025-06</t>
        </is>
      </c>
      <c r="E69" s="5" t="inlineStr">
        <is>
          <t>Pillar Security, Fujitsu Research of Europe</t>
        </is>
      </c>
      <c r="F69" s="5" t="inlineStr">
        <is>
          <t>Model registries distributing models in GGUF format</t>
        </is>
      </c>
      <c r="G69" s="5" t="inlineStr">
        <is>
          <t>GGUF 채팅 템플릿을 오염시켜 가중치 변경 없이 추론 시점 백도어 구현</t>
        </is>
      </c>
      <c r="H69" s="6" t="inlineStr">
        <is>
          <t>UT-14.3</t>
        </is>
      </c>
      <c r="I69" s="5" t="inlineStr">
        <is>
          <t>UT-02.1, UT-02.2, UT-07.2, UT-09.4, UT-14.3, UT-19.2, UT-21.4, UT-28.1, UT-28.4, UT-34.1</t>
        </is>
      </c>
      <c r="J69" s="5" t="inlineStr">
        <is>
          <t>https://atlas.mitre.org/case-studies/AML.CS0064</t>
        </is>
      </c>
    </row>
    <row r="70">
      <c r="A70" s="5" t="inlineStr">
        <is>
          <t>AML.CS0065</t>
        </is>
      </c>
      <c r="B70" s="5" t="inlineStr">
        <is>
          <t>Model Namespace Reuse Supply Chain Attack</t>
        </is>
      </c>
      <c r="C70" s="6" t="inlineStr">
        <is>
          <t>Exercise</t>
        </is>
      </c>
      <c r="D70" s="6" t="inlineStr">
        <is>
          <t>2025-09-03</t>
        </is>
      </c>
      <c r="E70" s="5" t="inlineStr">
        <is>
          <t>Unit 42 Researchers</t>
        </is>
      </c>
      <c r="F70" s="5" t="inlineStr">
        <is>
          <t>Users of Hugging Face-backed model catalogs, code pipelines, and cloud integrations</t>
        </is>
      </c>
      <c r="G70" s="5" t="inlineStr">
        <is>
          <t>삭제된 Hugging Face 작성자 네임스페이스를 재등록해 악성 모델로 대체</t>
        </is>
      </c>
      <c r="H70" s="6" t="inlineStr">
        <is>
          <t>UT-28.4</t>
        </is>
      </c>
      <c r="I70" s="5" t="inlineStr">
        <is>
          <t>UT-01.1, UT-02.3, UT-02.6, UT-14.2, UT-28.1, UT-28.4</t>
        </is>
      </c>
      <c r="J70" s="5" t="inlineStr">
        <is>
          <t>https://atlas.mitre.org/case-studies/AML.CS0065</t>
        </is>
      </c>
    </row>
    <row r="71">
      <c r="A71" s="5" t="inlineStr">
        <is>
          <t>AML.CS0066</t>
        </is>
      </c>
      <c r="B71" s="5" t="inlineStr">
        <is>
          <t>ZombieAgent: Data Exfiltration Attack on ChatGPT</t>
        </is>
      </c>
      <c r="C71" s="6" t="inlineStr">
        <is>
          <t>Exercise</t>
        </is>
      </c>
      <c r="D71" s="6" t="inlineStr">
        <is>
          <t>2025-09-25</t>
        </is>
      </c>
      <c r="E71" s="5" t="inlineStr">
        <is>
          <t>Radware Security Researchers</t>
        </is>
      </c>
      <c r="F71" s="5" t="inlineStr">
        <is>
          <t>OpenAI ChatGPT</t>
        </is>
      </c>
      <c r="G71" s="5" t="inlineStr">
        <is>
          <t>ZombieAgent: 외부 콘텐츠의 숨은 지시로 ChatGPT Deep Research·커넥터가 데이터 유출</t>
        </is>
      </c>
      <c r="H71" s="6" t="inlineStr">
        <is>
          <t>UT-07.1</t>
        </is>
      </c>
      <c r="I71" s="5" t="inlineStr">
        <is>
          <t>UT-02.3, UT-06.2, UT-06.3, UT-07.1, UT-11.1, UT-12.2, UT-19.2, UT-21.4</t>
        </is>
      </c>
      <c r="J71" s="5" t="inlineStr">
        <is>
          <t>https://atlas.mitre.org/case-studies/AML.CS0066</t>
        </is>
      </c>
    </row>
    <row r="72">
      <c r="A72" s="5" t="inlineStr">
        <is>
          <t>AML.CS0067</t>
        </is>
      </c>
      <c r="B72" s="5" t="inlineStr">
        <is>
          <t>Claude Code GitHub Action Secret Exposure</t>
        </is>
      </c>
      <c r="C72" s="6" t="inlineStr">
        <is>
          <t>Exercise</t>
        </is>
      </c>
      <c r="D72" s="6" t="inlineStr">
        <is>
          <t>2026-06-05</t>
        </is>
      </c>
      <c r="E72" s="5" t="inlineStr">
        <is>
          <t>Microsoft Defender Security Research Team</t>
        </is>
      </c>
      <c r="F72" s="5" t="inlineStr">
        <is>
          <t>Claude Code GitHub Action</t>
        </is>
      </c>
      <c r="G72" s="5" t="inlineStr">
        <is>
          <t>Claude Code GitHub Action이 인젝션으로 저장소 비밀값을 노출</t>
        </is>
      </c>
      <c r="H72" s="6" t="inlineStr">
        <is>
          <t>UT-25.2</t>
        </is>
      </c>
      <c r="I72" s="5" t="inlineStr">
        <is>
          <t>UT-01.1, UT-06.2, UT-06.3, UT-07.1, UT-08.2, UT-12.1, UT-19.2, UT-21.4, UT-25.2</t>
        </is>
      </c>
      <c r="J72" s="5" t="inlineStr">
        <is>
          <t>https://atlas.mitre.org/case-studies/AML.CS0067</t>
        </is>
      </c>
    </row>
    <row r="73">
      <c r="A73" s="5" t="inlineStr">
        <is>
          <t>AML.CS0068</t>
        </is>
      </c>
      <c r="B73" s="5" t="inlineStr">
        <is>
          <t>Autonomous OpenAI Evaluation Agents Compromise Hugging Face Infrastructure</t>
        </is>
      </c>
      <c r="C73" s="6" t="inlineStr">
        <is>
          <t>Incident</t>
        </is>
      </c>
      <c r="D73" s="6" t="inlineStr">
        <is>
          <t>2026-07-08</t>
        </is>
      </c>
      <c r="E73" s="5" t="inlineStr">
        <is>
          <t>Autonomous OpenAI Agents</t>
        </is>
      </c>
      <c r="F73" s="5" t="inlineStr">
        <is>
          <t>Hugging Face Infrastructure</t>
        </is>
      </c>
      <c r="G73" s="5" t="inlineStr">
        <is>
          <t>OpenAI 평가용 자율 에이전트들이 평가 경계를 넘어 외부 인프라 구축·Hugging Face 침해(실제 사고)</t>
        </is>
      </c>
      <c r="H73" s="6" t="inlineStr">
        <is>
          <t>UT-24.4</t>
        </is>
      </c>
      <c r="I73" s="5" t="inlineStr">
        <is>
          <t>UT-01.4, UT-02.4, UT-02.5, UT-02.6, UT-03.1, UT-03.2, UT-03.3, UT-05.3, UT-22.1, UT-22.3, UT-24.1, UT-24.4, UT-25.1, UT-25.4, UT-28.5</t>
        </is>
      </c>
      <c r="J73" s="5" t="inlineStr">
        <is>
          <t>https://atlas.mitre.org/case-studies/AML.CS0068</t>
        </is>
      </c>
    </row>
    <row r="74">
      <c r="A74" s="5" t="inlineStr">
        <is>
          <t>AML.CS0069</t>
        </is>
      </c>
      <c r="B74" s="5" t="inlineStr">
        <is>
          <t>GTG-1002 Claude Code Espionage Campaign</t>
        </is>
      </c>
      <c r="C74" s="6" t="inlineStr">
        <is>
          <t>Incident</t>
        </is>
      </c>
      <c r="D74" s="6" t="inlineStr">
        <is>
          <t>2025-09</t>
        </is>
      </c>
      <c r="E74" s="5" t="inlineStr">
        <is>
          <t>GTG-1002</t>
        </is>
      </c>
      <c r="F74" s="5" t="inlineStr">
        <is>
          <t>30 entities in the technology, financial, chemical, and government sectors</t>
        </is>
      </c>
      <c r="G74" s="5" t="inlineStr">
        <is>
          <t>GTG-1002가 탈옥한 Claude Code로 약 30개 조직 대상 자율 사이버 첩보(실제 사고)</t>
        </is>
      </c>
      <c r="H74" s="6" t="inlineStr">
        <is>
          <t>UT-03.1</t>
        </is>
      </c>
      <c r="I74" s="5" t="inlineStr">
        <is>
          <t>UT-01.2, UT-01.3, UT-01.4, UT-02.1, UT-02.3, UT-02.4, UT-02.6, UT-03.1, UT-06.1, UT-06.2, UT-24.2, UT-25.1, UT-25.4</t>
        </is>
      </c>
      <c r="J74" s="5" t="inlineStr">
        <is>
          <t>https://atlas.mitre.org/case-studies/AML.CS0069</t>
        </is>
      </c>
    </row>
    <row r="75">
      <c r="A75" s="5" t="inlineStr">
        <is>
          <t>AML.CS0070</t>
        </is>
      </c>
      <c r="B75" s="5" t="inlineStr">
        <is>
          <t>Threat Actor Uses a DeepSeek-Powered Hermes Agent in Langflow and n8n Exploitation Attempts</t>
        </is>
      </c>
      <c r="C75" s="6" t="inlineStr">
        <is>
          <t>Incident</t>
        </is>
      </c>
      <c r="D75" s="6" t="inlineStr">
        <is>
          <t>2026-05-07</t>
        </is>
      </c>
      <c r="E75" s="5" t="inlineStr">
        <is>
          <t>Chinese-speaking threat actor using the aliases knaithe and KnYuan</t>
        </is>
      </c>
      <c r="F75" s="5" t="inlineStr">
        <is>
          <t>Publicly exposed Langflow and n8n systems, primarily in China</t>
        </is>
      </c>
      <c r="G75" s="5" t="inlineStr">
        <is>
          <t>DeepSeek 기반 Hermes 에이전트로 Langflow·n8n 취약점 공격 시도(실제 사고)</t>
        </is>
      </c>
      <c r="H75" s="6" t="inlineStr">
        <is>
          <t>UT-03.1</t>
        </is>
      </c>
      <c r="I75" s="5" t="inlineStr">
        <is>
          <t>UT-01.1, UT-01.2, UT-01.3, UT-02.1, UT-02.4, UT-03.1, UT-03.3, UT-03.4</t>
        </is>
      </c>
      <c r="J75" s="5" t="inlineStr">
        <is>
          <t>https://atlas.mitre.org/case-studies/AML.CS0070</t>
        </is>
      </c>
    </row>
    <row r="76">
      <c r="A76" s="5" t="inlineStr">
        <is>
          <t>AML.CS0071</t>
        </is>
      </c>
      <c r="B76" s="5" t="inlineStr">
        <is>
          <t>Multi-Agent Framework Compromises Taiwanese Government Systems</t>
        </is>
      </c>
      <c r="C76" s="6" t="inlineStr">
        <is>
          <t>Incident</t>
        </is>
      </c>
      <c r="D76" s="6" t="inlineStr">
        <is>
          <t>2026-07-01</t>
        </is>
      </c>
      <c r="E76" s="5" t="inlineStr">
        <is>
          <t>Unknown Chinese-language actor</t>
        </is>
      </c>
      <c r="F76" s="5" t="inlineStr">
        <is>
          <t>Taiwanese government agencies and connected government systems</t>
        </is>
      </c>
      <c r="G76" s="5" t="inlineStr">
        <is>
          <t>Hermes·OpenClaw 기반 다중 에이전트 프레임워크로 대만 정부 시스템 침해(실제 사고)</t>
        </is>
      </c>
      <c r="H76" s="6" t="inlineStr">
        <is>
          <t>UT-03.1</t>
        </is>
      </c>
      <c r="I76" s="5" t="inlineStr">
        <is>
          <t>UT-01.2, UT-02.4, UT-02.6, UT-03.1, UT-03.2, UT-25.4</t>
        </is>
      </c>
      <c r="J76" s="5" t="inlineStr">
        <is>
          <t>https://atlas.mitre.org/case-studies/AML.CS0071</t>
        </is>
      </c>
    </row>
    <row r="77">
      <c r="A77" s="5" t="inlineStr">
        <is>
          <t>AML.CS0072</t>
        </is>
      </c>
      <c r="B77" s="5" t="inlineStr">
        <is>
          <t>AI Recommendation Poisoning via Crafted AI Assistant Links</t>
        </is>
      </c>
      <c r="C77" s="6" t="inlineStr">
        <is>
          <t>Incident</t>
        </is>
      </c>
      <c r="D77" s="6" t="inlineStr">
        <is>
          <t>2026-02-10</t>
        </is>
      </c>
      <c r="E77" s="5" t="inlineStr">
        <is>
          <t>Multiple commercial entities; 31 distinct companies identified</t>
        </is>
      </c>
      <c r="F77" s="5" t="inlineStr">
        <is>
          <t>Users of AI assistants with persistent memory features, including Microsoft 365 Copilot, ChatGPT, Claude, Perplexity, and Grok</t>
        </is>
      </c>
      <c r="G77" s="5" t="inlineStr">
        <is>
          <t>조작된 AI 비서 링크로 메모리를 오염시켜 특정 제품을 추천하게 만드는 홍보성 공격(실제 사고)</t>
        </is>
      </c>
      <c r="H77" s="6" t="inlineStr">
        <is>
          <t>UT-11.1</t>
        </is>
      </c>
      <c r="I77" s="5" t="inlineStr">
        <is>
          <t>UT-02.1, UT-02.3, UT-06.3, UT-07.4, UT-11.1, UT-20.3</t>
        </is>
      </c>
      <c r="J77" s="5" t="inlineStr">
        <is>
          <t>https://atlas.mitre.org/case-studies/AML.CS0072</t>
        </is>
      </c>
    </row>
  </sheetData>
  <autoFilter ref="A4:J7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22" customWidth="1" min="4" max="4"/>
    <col width="80" customWidth="1" min="5" max="5"/>
    <col width="40" customWidth="1" min="6" max="6"/>
  </cols>
  <sheetData>
    <row r="1">
      <c r="A1" s="1" t="inlineStr">
        <is>
          <t>변경이력</t>
        </is>
      </c>
    </row>
    <row r="2">
      <c r="A2" s="2" t="inlineStr">
        <is>
          <t>개정은 새 버전 파일로 저장하고 이 시트 상단에 기록. 이전 버전 상세 이력은 v3.1 원본 '변경이력' 시트 참조</t>
        </is>
      </c>
    </row>
    <row r="4">
      <c r="A4" s="4" t="inlineStr">
        <is>
          <t>버전</t>
        </is>
      </c>
      <c r="B4" s="4" t="inlineStr">
        <is>
          <t>일자</t>
        </is>
      </c>
      <c r="C4" s="4" t="inlineStr">
        <is>
          <t>구분</t>
        </is>
      </c>
      <c r="D4" s="4" t="inlineStr">
        <is>
          <t>대상</t>
        </is>
      </c>
      <c r="E4" s="4" t="inlineStr">
        <is>
          <t>변경 내용</t>
        </is>
      </c>
      <c r="F4" s="4" t="inlineStr">
        <is>
          <t>사유</t>
        </is>
      </c>
    </row>
    <row r="5">
      <c r="A5" s="6" t="inlineStr">
        <is>
          <t>v3.1 LITE</t>
        </is>
      </c>
      <c r="B5" s="6" t="inlineStr">
        <is>
          <t>2026-10-02</t>
        </is>
      </c>
      <c r="C5" s="6" t="inlineStr">
        <is>
          <t>시트 삭제</t>
        </is>
      </c>
      <c r="D5" s="5" t="inlineStr">
        <is>
          <t>13개 시트</t>
        </is>
      </c>
      <c r="E5" s="5" t="inlineStr">
        <is>
          <t>삭제: Lv2요약, 공격체인시나리오, ATLAS사례절차, OWASP상세, 커버리지히트맵, ATLAS전술×Lv3, ATLAS기법매핑, 완화책×UT, ATLAS완화책매핑, 소스항목사전, 공식크로스워크검증, LLM번호변환, 설계노트
(설계노트의 분류·평가 기준은 '도메인·평가기준'에 통합)</t>
        </is>
      </c>
      <c r="F5" s="5" t="inlineStr">
        <is>
          <t>최종 산출물 경량화 — 도메인·위협 분류·세부 위협·설명·사례 중심으로 재구성</t>
        </is>
      </c>
    </row>
    <row r="6">
      <c r="A6" s="6" t="inlineStr">
        <is>
          <t>v3.1 LITE</t>
        </is>
      </c>
      <c r="B6" s="6" t="inlineStr">
        <is>
          <t>2026-10-02</t>
        </is>
      </c>
      <c r="C6" s="6" t="inlineStr">
        <is>
          <t>열 삭제</t>
        </is>
      </c>
      <c r="D6" s="5" t="inlineStr">
        <is>
          <t>통합매트릭스 48열 → 17열</t>
        </is>
      </c>
      <c r="E6" s="5" t="inlineStr">
        <is>
          <t>삭제: 발생가능성 근거 (자동 산정), 연관 공격 단계 (ATLAS 전술), 예측 AI, LLM 앱, RAG, AI 에이전트, 멀티에이전트·MCP, 영향, 기획/개발, 배포, 운영, 종료, 생애주기 비고, ATLAS 기법 (연관), 기법 수, Realized 기법 수, Maturity 분포 (R/D/F), LLM 2026 (보조), ASI 2026 (보조), DSGAI 2026 (보조), MCP (보조), 소스 커버리지 (0~5), ATLAS 사례 수, OWASP 인용 취약점·익스플로잇 수, 관련 ATLAS 사례 ID, ATLAS 완화책 (상위 5), 구 UT-ID (v1.2)</t>
        </is>
      </c>
      <c r="F6" s="5" t="inlineStr">
        <is>
          <t>패싯·세부 매핑·집계용 보조 열 제거. 원본 v3.1에 보존</t>
        </is>
      </c>
    </row>
    <row r="7">
      <c r="A7" s="6" t="inlineStr">
        <is>
          <t>v3.1 LITE</t>
        </is>
      </c>
      <c r="B7" s="6" t="inlineStr">
        <is>
          <t>2026-10-02</t>
        </is>
      </c>
      <c r="C7" s="6" t="inlineStr">
        <is>
          <t>열 통합</t>
        </is>
      </c>
      <c r="D7" s="5" t="inlineStr">
        <is>
          <t>OWASP 매핑</t>
        </is>
      </c>
      <c r="E7" s="5" t="inlineStr">
        <is>
          <t>LLM·ASI·DSGAI·MCP 주 매핑 4열을 'OWASP 매핑 (주)' 1열로 통합(보조 매핑 제외)</t>
        </is>
      </c>
      <c r="F7" s="5" t="inlineStr">
        <is>
          <t>가독성</t>
        </is>
      </c>
    </row>
    <row r="8">
      <c r="A8" s="6" t="inlineStr">
        <is>
          <t>v3.1 LITE</t>
        </is>
      </c>
      <c r="B8" s="6" t="inlineStr">
        <is>
          <t>2026-10-02</t>
        </is>
      </c>
      <c r="C8" s="6" t="inlineStr">
        <is>
          <t>열 통합</t>
        </is>
      </c>
      <c r="D8" s="5" t="inlineStr">
        <is>
          <t>실제 사고 수</t>
        </is>
      </c>
      <c r="E8" s="5" t="inlineStr">
        <is>
          <t>ATLAS 실제 사고 수 + OWASP 인용 실제 사고 수를 1열로 합산</t>
        </is>
      </c>
      <c r="F8" s="5" t="inlineStr">
        <is>
          <t>가독성</t>
        </is>
      </c>
    </row>
    <row r="9">
      <c r="A9" s="6" t="inlineStr">
        <is>
          <t>v3.1 LITE</t>
        </is>
      </c>
      <c r="B9" s="6" t="inlineStr">
        <is>
          <t>2026-10-02</t>
        </is>
      </c>
      <c r="C9" s="6" t="inlineStr">
        <is>
          <t>수식 고정</t>
        </is>
      </c>
      <c r="D9" s="5" t="inlineStr">
        <is>
          <t>발생가능성·근거 수준</t>
        </is>
      </c>
      <c r="E9" s="5" t="inlineStr">
        <is>
          <t>삭제 시트를 참조하던 수식을 v3.1 산정값으로 고정. 위험도·개요 지표·도메인 집계는 LITE 내부 수식으로 재연결</t>
        </is>
      </c>
      <c r="F9" s="5" t="inlineStr">
        <is>
          <t>삭제 시트 참조 오류 방지</t>
        </is>
      </c>
    </row>
    <row r="10">
      <c r="A10" s="6" t="inlineStr">
        <is>
          <t>v3.1</t>
        </is>
      </c>
      <c r="B10" s="6" t="inlineStr">
        <is>
          <t>2026-10-01</t>
        </is>
      </c>
      <c r="C10" s="6" t="inlineStr">
        <is>
          <t>명칭 변경</t>
        </is>
      </c>
      <c r="D10" s="5" t="inlineStr">
        <is>
          <t>Lv1 도메인 10개</t>
        </is>
      </c>
      <c r="E10" s="5" t="inlineStr">
        <is>
          <t>보호 대상 명칭 → 영역별 보안 리스크 명칭(OWASP 명명 규칙)</t>
        </is>
      </c>
      <c r="F10" s="5" t="inlineStr">
        <is>
          <t>—</t>
        </is>
      </c>
    </row>
    <row r="11">
      <c r="A11" s="6" t="inlineStr">
        <is>
          <t>v3.0</t>
        </is>
      </c>
      <c r="B11" s="6" t="inlineStr">
        <is>
          <t>—</t>
        </is>
      </c>
      <c r="C11" s="6" t="inlineStr">
        <is>
          <t>구조 개편</t>
        </is>
      </c>
      <c r="D11" s="5" t="inlineStr">
        <is>
          <t>Lv3 127개</t>
        </is>
      </c>
      <c r="E11" s="5" t="inlineStr">
        <is>
          <t>Lv3 세부 위협 도입, ATLAS 기법 21개 UT 간 이동, 위험 평가 추가</t>
        </is>
      </c>
      <c r="F11" s="5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2026-10-02T03:37:23Z</dcterms:created>
  <dcterms:modified xsi:type="dcterms:W3CDTF">2026-10-02T03:37:24Z</dcterms:modified>
</cp:coreProperties>
</file>