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통합매트릭스" sheetId="2" state="visible" r:id="rId2"/>
    <sheet name="도메인·평가기준" sheetId="3" state="visible" r:id="rId3"/>
    <sheet name="ATLAS사례연구" sheetId="4" state="visible" r:id="rId4"/>
    <sheet name="변경이력" sheetId="5" state="visible" r:id="rId5"/>
  </sheets>
  <definedNames>
    <definedName name="_xlnm._FilterDatabase" localSheetId="1" hidden="1">'통합매트릭스'!$A$4:$Q$128</definedName>
    <definedName name="_xlnm._FilterDatabase" localSheetId="3" hidden="1">'ATLAS사례연구'!$A$4:$J$77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9"/>
    </font>
    <font>
      <b val="1"/>
      <color rgb="001F3864"/>
      <sz val="9"/>
    </font>
    <font>
      <b val="1"/>
      <color rgb="00FFFFFF"/>
      <sz val="9"/>
    </font>
    <font>
      <sz val="9"/>
    </font>
    <font>
      <b val="1"/>
      <sz val="9"/>
    </font>
    <font>
      <color rgb="008C8C8C"/>
      <sz val="9"/>
    </font>
    <font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DE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b val="1"/>
        <color rgb="00C00000"/>
      </font>
    </dxf>
    <dxf>
      <font>
        <b val="1"/>
        <color rgb="007F6000"/>
      </font>
    </dxf>
    <dxf>
      <font>
        <b val="1"/>
        <color rgb="00375623"/>
      </font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ED7D31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C55A11"/>
      </font>
    </dxf>
    <dxf>
      <font>
        <b val="1"/>
        <color rgb="0059595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34" customWidth="1" min="3" max="3"/>
    <col width="22" customWidth="1" min="4" max="4"/>
    <col width="34" customWidth="1" min="5" max="5"/>
  </cols>
  <sheetData>
    <row r="1">
      <c r="A1" s="1" t="inlineStr">
        <is>
          <t>통합 AI 보안위협 매트릭스 (UTM) v3.2 LITE</t>
        </is>
      </c>
    </row>
    <row r="2">
      <c r="A2" s="2" t="inlineStr">
        <is>
          <t>Lv1 도메인 10 · Lv2 위협 분류 36 · Lv3 세부 위협 124 · 위험 평가(발생가능성×심각도) | 2026-10-02 | 작성 중 — D01·D02 및 분류 변경 Lv3를 v3.2 문체로 재작성, D03~D10 순차 재작성 예정</t>
        </is>
      </c>
    </row>
    <row r="4">
      <c r="A4" s="3" t="inlineStr">
        <is>
          <t>1. 통합 대상 소스</t>
        </is>
      </c>
    </row>
    <row r="5">
      <c r="A5" s="4" t="inlineStr">
        <is>
          <t>소스</t>
        </is>
      </c>
      <c r="B5" s="4" t="inlineStr">
        <is>
          <t>버전 / 공개일</t>
        </is>
      </c>
      <c r="C5" s="4" t="inlineStr">
        <is>
          <t>규모</t>
        </is>
      </c>
      <c r="D5" s="4" t="inlineStr">
        <is>
          <t>관점</t>
        </is>
      </c>
      <c r="E5" s="4" t="inlineStr">
        <is>
          <t>입수 경로</t>
        </is>
      </c>
    </row>
    <row r="6">
      <c r="A6" s="5" t="inlineStr">
        <is>
          <t>MITRE ATLAS</t>
        </is>
      </c>
      <c r="B6" s="5" t="inlineStr">
        <is>
          <t>v2026.09 (2026-09-15)</t>
        </is>
      </c>
      <c r="C6" s="5" t="inlineStr">
        <is>
          <t>전술 16 · 기법 208 · 완화책 40 · 사례 73 · 절차 665</t>
        </is>
      </c>
      <c r="D6" s="5" t="inlineStr">
        <is>
          <t>공격자 TTP</t>
        </is>
      </c>
      <c r="E6" s="5" t="inlineStr">
        <is>
          <t>ATLAS-2026_09.yaml · excel-atlas*.xlsx</t>
        </is>
      </c>
    </row>
    <row r="7">
      <c r="A7" s="5" t="inlineStr">
        <is>
          <t>OWASP Top 10 for LLM Applications</t>
        </is>
      </c>
      <c r="B7" s="5" t="inlineStr">
        <is>
          <t>2026 (2026-08-04)</t>
        </is>
      </c>
      <c r="C7" s="5" t="inlineStr">
        <is>
          <t>10</t>
        </is>
      </c>
      <c r="D7" s="5" t="inlineStr">
        <is>
          <t>LLM 애플리케이션 위험</t>
        </is>
      </c>
      <c r="E7" s="5" t="inlineStr">
        <is>
          <t>원문 PDF</t>
        </is>
      </c>
    </row>
    <row r="8">
      <c r="A8" s="5" t="inlineStr">
        <is>
          <t>OWASP Top 10 for Agentic Applications</t>
        </is>
      </c>
      <c r="B8" s="5" t="inlineStr">
        <is>
          <t>2026 (2025-12-09)</t>
        </is>
      </c>
      <c r="C8" s="5" t="inlineStr">
        <is>
          <t>10 + 사고 추적표 25건</t>
        </is>
      </c>
      <c r="D8" s="5" t="inlineStr">
        <is>
          <t>에이전트 위험</t>
        </is>
      </c>
      <c r="E8" s="5" t="inlineStr">
        <is>
          <t>원문 PDF</t>
        </is>
      </c>
    </row>
    <row r="9">
      <c r="A9" s="5" t="inlineStr">
        <is>
          <t>OWASP GenAI Data Security</t>
        </is>
      </c>
      <c r="B9" s="5" t="inlineStr">
        <is>
          <t>2026 v1.0 (2026-03)</t>
        </is>
      </c>
      <c r="C9" s="5" t="inlineStr">
        <is>
          <t>21</t>
        </is>
      </c>
      <c r="D9" s="5" t="inlineStr">
        <is>
          <t>데이터 생애주기 위험</t>
        </is>
      </c>
      <c r="E9" s="5" t="inlineStr">
        <is>
          <t>원문 PDF</t>
        </is>
      </c>
    </row>
    <row r="10">
      <c r="A10" s="5" t="inlineStr">
        <is>
          <t>OWASP MCP Top 10</t>
        </is>
      </c>
      <c r="B10" s="5" t="inlineStr">
        <is>
          <t>2025 (beta)</t>
        </is>
      </c>
      <c r="C10" s="5" t="inlineStr">
        <is>
          <t>10</t>
        </is>
      </c>
      <c r="D10" s="5" t="inlineStr">
        <is>
          <t>MCP 프로토콜 계층</t>
        </is>
      </c>
      <c r="E10" s="5" t="inlineStr">
        <is>
          <t>github.com/OWASP/www-project-mcp-top-10</t>
        </is>
      </c>
    </row>
    <row r="12">
      <c r="A12" s="3" t="inlineStr">
        <is>
          <t>2. 핵심 지표 (수식 연동)</t>
        </is>
      </c>
    </row>
    <row r="13">
      <c r="A13" s="4" t="inlineStr">
        <is>
          <t>지표</t>
        </is>
      </c>
      <c r="B13" s="4" t="inlineStr">
        <is>
          <t>값</t>
        </is>
      </c>
    </row>
    <row r="14">
      <c r="A14" s="5" t="inlineStr">
        <is>
          <t>Lv1 도메인 / Lv2 위협 분류 / Lv3 세부 위협</t>
        </is>
      </c>
      <c r="B14" s="5">
        <f>SUMPRODUCT(1/COUNTIF(통합매트릭스!$A$5:$A$128,통합매트릭스!$A$5:$A$128))&amp;" / "&amp;SUMPRODUCT(1/COUNTIF(통합매트릭스!$B$5:$B$128,통합매트릭스!$B$5:$B$128))&amp;" / "&amp;COUNTA(통합매트릭스!$D$5:$D$128)</f>
        <v/>
      </c>
    </row>
    <row r="15">
      <c r="A15" s="5" t="inlineStr">
        <is>
          <t>위험도 매우 높음 / 높음 / 보통 / 낮음</t>
        </is>
      </c>
      <c r="B15" s="5">
        <f>COUNTIF(통합매트릭스!$J$5:$J$128,"매우 높음")&amp;" / "&amp;COUNTIF(통합매트릭스!$J$5:$J$128,"높음")&amp;" / "&amp;COUNTIF(통합매트릭스!$J$5:$J$128,"보통")&amp;" / "&amp;COUNTIF(통합매트릭스!$J$5:$J$128,"낮음")</f>
        <v/>
      </c>
    </row>
    <row r="16">
      <c r="A16" s="5" t="inlineStr">
        <is>
          <t>근거 수준 실제 사고 확인 / 실사용 기법 포함 / 실증·공개 취약점 / 이론·시나리오</t>
        </is>
      </c>
      <c r="B16" s="5">
        <f>COUNTIF(통합매트릭스!$L$5:$L$128,"실제 사고 확인")&amp;" / "&amp;COUNTIF(통합매트릭스!$L$5:$L$128,"실사용 기법 포함")&amp;" / "&amp;COUNTIF(통합매트릭스!$L$5:$L$128,"실증·공개 취약점")&amp;" / "&amp;COUNTIF(통합매트릭스!$L$5:$L$128,"이론·시나리오")</f>
        <v/>
      </c>
    </row>
    <row r="17">
      <c r="A17" s="5" t="inlineStr">
        <is>
          <t>실제 사고가 1건 이상 연결된 Lv3</t>
        </is>
      </c>
      <c r="B17" s="5">
        <f>COUNTIF(통합매트릭스!$M$5:$M$128,"&gt;0")</f>
        <v/>
      </c>
    </row>
    <row r="18">
      <c r="A18" s="5" t="inlineStr">
        <is>
          <t>v3.2 문체 재작성 Lv3 / 전체</t>
        </is>
      </c>
      <c r="B18" s="5" t="inlineStr">
        <is>
          <t>38 / 124</t>
        </is>
      </c>
    </row>
    <row r="20">
      <c r="A20" s="3" t="inlineStr">
        <is>
          <t>3. 위험 매트릭스 (Lv3 수)</t>
        </is>
      </c>
    </row>
    <row r="21">
      <c r="A21" s="4" t="inlineStr">
        <is>
          <t>발생가능성 \ 심각도</t>
        </is>
      </c>
      <c r="B21" s="4" t="inlineStr">
        <is>
          <t>상</t>
        </is>
      </c>
      <c r="C21" s="4" t="inlineStr">
        <is>
          <t>중</t>
        </is>
      </c>
      <c r="D21" s="4" t="inlineStr">
        <is>
          <t>하</t>
        </is>
      </c>
    </row>
    <row r="22">
      <c r="A22" s="6" t="inlineStr">
        <is>
          <t>상</t>
        </is>
      </c>
      <c r="B22" s="6">
        <f>COUNTIFS(통합매트릭스!$H$5:$H$128,"상",통합매트릭스!$I$5:$I$128,"상")</f>
        <v/>
      </c>
      <c r="C22" s="6">
        <f>COUNTIFS(통합매트릭스!$H$5:$H$128,"상",통합매트릭스!$I$5:$I$128,"중")</f>
        <v/>
      </c>
      <c r="D22" s="6">
        <f>COUNTIFS(통합매트릭스!$H$5:$H$128,"상",통합매트릭스!$I$5:$I$128,"하")</f>
        <v/>
      </c>
    </row>
    <row r="23">
      <c r="A23" s="6" t="inlineStr">
        <is>
          <t>중</t>
        </is>
      </c>
      <c r="B23" s="6">
        <f>COUNTIFS(통합매트릭스!$H$5:$H$128,"중",통합매트릭스!$I$5:$I$128,"상")</f>
        <v/>
      </c>
      <c r="C23" s="6">
        <f>COUNTIFS(통합매트릭스!$H$5:$H$128,"중",통합매트릭스!$I$5:$I$128,"중")</f>
        <v/>
      </c>
      <c r="D23" s="6">
        <f>COUNTIFS(통합매트릭스!$H$5:$H$128,"중",통합매트릭스!$I$5:$I$128,"하")</f>
        <v/>
      </c>
    </row>
    <row r="24">
      <c r="A24" s="6" t="inlineStr">
        <is>
          <t>하</t>
        </is>
      </c>
      <c r="B24" s="6">
        <f>COUNTIFS(통합매트릭스!$H$5:$H$128,"하",통합매트릭스!$I$5:$I$128,"상")</f>
        <v/>
      </c>
      <c r="C24" s="6">
        <f>COUNTIFS(통합매트릭스!$H$5:$H$128,"하",통합매트릭스!$I$5:$I$128,"중")</f>
        <v/>
      </c>
      <c r="D24" s="6">
        <f>COUNTIFS(통합매트릭스!$H$5:$H$128,"하",통합매트릭스!$I$5:$I$128,"하")</f>
        <v/>
      </c>
    </row>
    <row r="26">
      <c r="A26" s="3" t="inlineStr">
        <is>
          <t>4. 시트 구성</t>
        </is>
      </c>
    </row>
    <row r="27">
      <c r="A27" s="4" t="inlineStr">
        <is>
          <t>시트</t>
        </is>
      </c>
      <c r="B27" s="4" t="inlineStr">
        <is>
          <t>내용</t>
        </is>
      </c>
    </row>
    <row r="28">
      <c r="A28" s="5" t="inlineStr">
        <is>
          <t>통합매트릭스</t>
        </is>
      </c>
      <c r="B28" s="5" t="inlineStr">
        <is>
          <t>핵심 산출물. Lv3 124행 — 분류 체계, 요약설명·참조(AI 관점·실제 사례), 위험 평가, 교차 매핑(공격 단계·ATLAS·OWASP), 핵심 통제(Lv2)</t>
        </is>
      </c>
    </row>
    <row r="29">
      <c r="A29" s="5" t="inlineStr">
        <is>
          <t>도메인·평가기준</t>
        </is>
      </c>
      <c r="B29" s="5" t="inlineStr">
        <is>
          <t>3단 분류 정의와 작성 규칙, Lv1 도메인 리스크 정의·경계 판정 규칙, 위험 평가·근거 수준 기준, 참조 작성 규칙</t>
        </is>
      </c>
    </row>
    <row r="30">
      <c r="A30" s="5" t="inlineStr">
        <is>
          <t>ATLAS사례연구</t>
        </is>
      </c>
      <c r="B30" s="5" t="inlineStr">
        <is>
          <t>MITRE ATLAS 사례 73건 요약과 Lv3 매핑 — 참조의 'ATLAS AML.CS' 출처 조회용</t>
        </is>
      </c>
    </row>
    <row r="31">
      <c r="A31" s="5" t="inlineStr">
        <is>
          <t>변경이력</t>
        </is>
      </c>
      <c r="B31" s="5" t="inlineStr">
        <is>
          <t>버전별 변경 내역과 Lv3 ID 대응표(폐지 ID는 재사용하지 않음)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8"/>
  <sheetViews>
    <sheetView showGridLines="1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8" customWidth="1" min="4" max="4"/>
    <col width="15" customWidth="1" min="5" max="5"/>
    <col width="52" customWidth="1" min="6" max="6"/>
    <col width="88" customWidth="1" min="7" max="7"/>
    <col width="7" customWidth="1" min="8" max="8"/>
    <col width="7" customWidth="1" min="9" max="9"/>
    <col width="8" customWidth="1" min="10" max="10"/>
    <col width="22" customWidth="1" min="11" max="11"/>
    <col width="11" customWidth="1" min="12" max="12"/>
    <col width="7" customWidth="1" min="13" max="13"/>
    <col width="13" customWidth="1" min="14" max="14"/>
    <col width="20" customWidth="1" min="15" max="15"/>
    <col width="13" customWidth="1" min="16" max="16"/>
    <col width="30" customWidth="1" min="17" max="17"/>
  </cols>
  <sheetData>
    <row r="1">
      <c r="A1" s="1" t="inlineStr">
        <is>
          <t>통합 AI 보안위협 매트릭스 v3.2 LITE — Lv1 도메인(10) · Lv2 위협 분류(36) · Lv3 세부 위협(124)</t>
        </is>
      </c>
    </row>
    <row r="2">
      <c r="A2" s="2" t="inlineStr">
        <is>
          <t>기준: MITRE ATLAS v2026.09 · OWASP LLM Top 10 2026 · Agentic Top 10 2026 · GenAI Data Security 2026 v1.0 · MCP Top 10(2025 beta) | 2026-10-02 | 작성 중 — D01·D02 및 분류 변경 Lv3를 v3.2 문체로 재작성, D03~D10 순차 재작성 예정 — 회색 글자 = v3.1 문구 유지 행</t>
        </is>
      </c>
    </row>
    <row r="3">
      <c r="A3" s="7" t="inlineStr">
        <is>
          <t>분류 체계 (Lv1 · Lv2 · Lv3)</t>
        </is>
      </c>
      <c r="B3" s="8" t="n"/>
      <c r="C3" s="8" t="n"/>
      <c r="D3" s="8" t="n"/>
      <c r="E3" s="8" t="n"/>
      <c r="F3" s="8" t="n"/>
      <c r="G3" s="9" t="n"/>
      <c r="H3" s="7" t="inlineStr">
        <is>
          <t>위험 평가</t>
        </is>
      </c>
      <c r="I3" s="8" t="n"/>
      <c r="J3" s="8" t="n"/>
      <c r="K3" s="8" t="n"/>
      <c r="L3" s="8" t="n"/>
      <c r="M3" s="9" t="n"/>
      <c r="N3" s="7" t="inlineStr">
        <is>
          <t>교차 매핑</t>
        </is>
      </c>
      <c r="O3" s="8" t="n"/>
      <c r="P3" s="9" t="n"/>
      <c r="Q3" s="7" t="inlineStr">
        <is>
          <t>통제 (Lv2)</t>
        </is>
      </c>
    </row>
    <row r="4">
      <c r="A4" s="4" t="inlineStr">
        <is>
          <t>도메인 (Lv1)</t>
        </is>
      </c>
      <c r="B4" s="4" t="inlineStr">
        <is>
          <t>UT-ID</t>
        </is>
      </c>
      <c r="C4" s="4" t="inlineStr">
        <is>
          <t>위협 분류 (Lv2)</t>
        </is>
      </c>
      <c r="D4" s="4" t="inlineStr">
        <is>
          <t>Lv3 ID</t>
        </is>
      </c>
      <c r="E4" s="4" t="inlineStr">
        <is>
          <t>세부 위협 (Lv3)</t>
        </is>
      </c>
      <c r="F4" s="4" t="inlineStr">
        <is>
          <t>요약설명</t>
        </is>
      </c>
      <c r="G4" s="4" t="inlineStr">
        <is>
          <t>참조</t>
        </is>
      </c>
      <c r="H4" s="4" t="inlineStr">
        <is>
          <t>발생가능성</t>
        </is>
      </c>
      <c r="I4" s="4" t="inlineStr">
        <is>
          <t>심각도</t>
        </is>
      </c>
      <c r="J4" s="4" t="inlineStr">
        <is>
          <t>위험도</t>
        </is>
      </c>
      <c r="K4" s="4" t="inlineStr">
        <is>
          <t>심각도 근거</t>
        </is>
      </c>
      <c r="L4" s="4" t="inlineStr">
        <is>
          <t>근거 수준</t>
        </is>
      </c>
      <c r="M4" s="4" t="inlineStr">
        <is>
          <t>실제 사고 수</t>
        </is>
      </c>
      <c r="N4" s="4" t="inlineStr">
        <is>
          <t>주 공격 단계</t>
        </is>
      </c>
      <c r="O4" s="4" t="inlineStr">
        <is>
          <t>ATLAS 기법 (주)</t>
        </is>
      </c>
      <c r="P4" s="4" t="inlineStr">
        <is>
          <t>OWASP 매핑 (주)</t>
        </is>
      </c>
      <c r="Q4" s="4" t="inlineStr">
        <is>
          <t>핵심 통제 요약</t>
        </is>
      </c>
    </row>
    <row r="5" ht="204" customHeight="1">
      <c r="A5" s="10" t="inlineStr">
        <is>
          <t>D01. 공격 준비 및 AI 무기화</t>
        </is>
      </c>
      <c r="B5" s="11" t="inlineStr">
        <is>
          <t>UT-01</t>
        </is>
      </c>
      <c r="C5" s="5" t="inlineStr">
        <is>
          <t>AI 대상 정찰 및 접근 확보</t>
        </is>
      </c>
      <c r="D5" s="11" t="inlineStr">
        <is>
          <t>UT-01.1</t>
        </is>
      </c>
      <c r="E5" s="12" t="inlineStr">
        <is>
          <t>공개 정보 수집</t>
        </is>
      </c>
      <c r="F5" s="5" t="inlineStr">
        <is>
          <t>- 공격자는 논문·기술 블로그·코드 저장소·앱 스토어·조직 웹사이트와 인터넷 스캔 DB를 검색해, 대상 조직이 쓰는 AI의 모델 구조·학습 데이터·프레임워크와 관련 인물 정보를 수집할 수 있음
- 공개된 정보만 쓰므로 조직이 탐지할 수 없고, 수집 결과가 이후 대리 모델 구축·맞춤형 인젝션·피싱의 설계 근거가 됨</t>
        </is>
      </c>
      <c r="G5" s="5" t="inlineStr">
        <is>
          <t>■ AI 관점
- 기술 정보원: 학회 논문·프리프린트·기술 블로그·특허, 공개 취약점 분석 자료에서 대상 모델의 구조·데이터셋·알려진 공격 기법을 확인 (ATLAS AML.T0000·T0001)
- 자산 정보원: 조직 웹사이트·앱 스토어·GitHub에서 AI 기능, 사용 프레임워크, 에이전트 설정 파일을 찾고, Shodan·Censys 같은 스캔 DB로 노출된 AI 서비스를 조회 (ATLAS AML.T0003·T0004·T0095·T0000.003)
- 인물 정보: 임직원 이름·메일·얼굴 사진과 개인정보를 수집해 딥페이크·사칭(UT-04)의 재료로 씀 (ATLAS AML.T0087)
- 수집은 조직 밖에서 끝나므로 직접 차단보다 모델 카드·기술 문서·저장소 공개 범위를 최소화하는 것이 현실적 통제임
■ 실제 사례
- [실제 사고] Hermes 에이전트 공격(2026-05): DeepSeek 기반 에이전트가 GitHub에서 2026년 CVE PoC 저장소를 찾고, FOFA로 노출된 Langflow 84개·n8n 약 65만 건을 조회해 표적을 선정 (ATLAS AML.CS0070)
- [실제 사고] 중국 세무 시스템 얼굴인식 우회(2020): 암시장에서 개인정보와 고해상도 얼굴 사진을 사들여 인증 우회에 사용, 약 7,700만 달러 부정 수취 (ATLAS AML.CS0004)
- [실증] Jira Service Management 공격(2025-06): "site:atlassian.net/servicedesk" 검색으로 AI 연동 서비스 포털을 쓰는 조직을 표적 목록화 (ATLAS AML.CS0039)</t>
        </is>
      </c>
      <c r="H5" s="11" t="inlineStr">
        <is>
          <t>상</t>
        </is>
      </c>
      <c r="I5" s="11" t="inlineStr">
        <is>
          <t>하</t>
        </is>
      </c>
      <c r="J5" s="13">
        <f>IF(AND(H5="상",I5="상"),"매우 높음",IF(OR(AND(H5="상",I5="중"),AND(H5="중",I5="상")),"높음",IF(OR(AND(H5="중",I5="중"),AND(H5="상",I5="하"),AND(H5="하",I5="상")),"보통","낮음")))</f>
        <v/>
      </c>
      <c r="K5" s="5" t="inlineStr">
        <is>
          <t>직접 피해 없음(후속 공격 설계 단계)</t>
        </is>
      </c>
      <c r="L5" s="11" t="inlineStr">
        <is>
          <t>실제 사고 확인</t>
        </is>
      </c>
      <c r="M5" s="11" t="n">
        <v>3</v>
      </c>
      <c r="N5" s="5" t="inlineStr">
        <is>
          <t>정찰(Reconnaissance)</t>
        </is>
      </c>
      <c r="O5" s="5" t="inlineStr">
        <is>
          <t>T0000, T0000.000, T0000.001, T0000.002, T0000.003, T0001, T0003, T0004, T0087, T0095, T0095.000</t>
        </is>
      </c>
      <c r="P5" s="5" t="n"/>
      <c r="Q5" s="5" t="inlineStr">
        <is>
          <t>공개 정보·모델 아티팩트 공개 최소화, 노출 자산 관리, AI 허니팟, 비정상 탐색·질의 탐지</t>
        </is>
      </c>
    </row>
    <row r="6" ht="191.5" customHeight="1">
      <c r="A6" s="10" t="inlineStr">
        <is>
          <t>D01. 공격 준비 및 AI 무기화</t>
        </is>
      </c>
      <c r="B6" s="11" t="inlineStr">
        <is>
          <t>UT-01</t>
        </is>
      </c>
      <c r="C6" s="5" t="inlineStr">
        <is>
          <t>AI 대상 정찰 및 접근 확보</t>
        </is>
      </c>
      <c r="D6" s="11" t="inlineStr">
        <is>
          <t>UT-01.2</t>
        </is>
      </c>
      <c r="E6" s="12" t="inlineStr">
        <is>
          <t>노출 AI 자산 스캔</t>
        </is>
      </c>
      <c r="F6" s="5" t="inlineStr">
        <is>
          <t>- 공격자는 인터넷 포트 스캔, SaaS·에이전트 플랫폼의 메타데이터 API 조회, 에이전트 호출 채널(메일·웹훅) 탐침으로 외부에 노출된 AI 서비스와 에이전트를 찾아 공격 진입점을 목록화할 수 있음
- 자체 호스팅 AI 런타임은 잘 알려진 포트·API를 기본으로 열어 대량 스캔에 쉽게 걸리며, 자율 공격 에이전트가 이 과정을 자동화하고 있음</t>
        </is>
      </c>
      <c r="G6" s="5" t="inlineStr">
        <is>
          <t>■ AI 관점
- 스캔 대상: 모델 서빙 엔드포인트, Ray·노트북 같은 학습 클러스터 대시보드, 에이전트 관리 콘솔·게이트웨이 — 기본 포트와 표준 API가 예측 가능함 (ATLAS AML.T0006.002)
- 플랫폼 열거: 에이전트·SaaS 플랫폼의 예측 가능한 URL 구조나 메타데이터 API로 특정 조직이 배포한 에이전트를 찾아냄 (ATLAS AML.T0006.000·T0006.001)
- 트리거 탐침: 고객 지원 메일·웹훅·메신저 채널에 시험 입력을 보내 자동 응답 여부로 에이전트 존재와 동작 방식을 확인 (ATLAS AML.T0006.003)
- 찾아낸 노출 서비스는 일반 초기 침투(UT-02.4)나 인증 없는 서비스 악용(UT-31.1)으로 바로 이어짐
■ 실제 사례
- [실제 사고] ShadowRay(2023-09~): 공인 IP 스캔으로 인증 없이 노출된 Ray 대시보드를 찾아 최소 7개월간 악용 — 피해 장비 가치 약 10억 달러 추산 (ATLAS AML.CS0023)
- [실제 사고] GTG-1002(2025-09): 탈옥한 Claude 에이전트가 표적 조직의 IP 대역 스캔과 취약점 스캔을 자율 수행해 공격 표면을 열거 (ATLAS AML.CS0069)
- [실증] Copilot Studio 고객 지원 에이전트(2025-06): 공개된 지원 메일 주소로 시험 메일을 보내 자동 회신 여부로 AI 에이전트가 관리하는 받은편지함을 식별 (ATLAS AML.CS0037)</t>
        </is>
      </c>
      <c r="H6" s="11" t="inlineStr">
        <is>
          <t>상</t>
        </is>
      </c>
      <c r="I6" s="11" t="inlineStr">
        <is>
          <t>하</t>
        </is>
      </c>
      <c r="J6" s="13">
        <f>IF(AND(H6="상",I6="상"),"매우 높음",IF(OR(AND(H6="상",I6="중"),AND(H6="중",I6="상")),"높음",IF(OR(AND(H6="중",I6="중"),AND(H6="상",I6="하"),AND(H6="하",I6="상")),"보통","낮음")))</f>
        <v/>
      </c>
      <c r="K6" s="5" t="inlineStr">
        <is>
          <t>직접 피해 없음(공격 진입점 식별 단계)</t>
        </is>
      </c>
      <c r="L6" s="11" t="inlineStr">
        <is>
          <t>실제 사고 확인</t>
        </is>
      </c>
      <c r="M6" s="11" t="n">
        <v>4</v>
      </c>
      <c r="N6" s="5" t="inlineStr">
        <is>
          <t>정찰(Reconnaissance)</t>
        </is>
      </c>
      <c r="O6" s="5" t="inlineStr">
        <is>
          <t>T0006, T0006.000, T0006.001, T0006.002, T0006.003</t>
        </is>
      </c>
      <c r="P6" s="5" t="n"/>
      <c r="Q6" s="5" t="inlineStr">
        <is>
          <t>공개 정보·모델 아티팩트 공개 최소화, 노출 자산 관리, AI 허니팟, 비정상 탐색·질의 탐지</t>
        </is>
      </c>
    </row>
    <row r="7" ht="191.5" customHeight="1">
      <c r="A7" s="10" t="inlineStr">
        <is>
          <t>D01. 공격 준비 및 AI 무기화</t>
        </is>
      </c>
      <c r="B7" s="11" t="inlineStr">
        <is>
          <t>UT-01</t>
        </is>
      </c>
      <c r="C7" s="5" t="inlineStr">
        <is>
          <t>AI 대상 정찰 및 접근 확보</t>
        </is>
      </c>
      <c r="D7" s="11" t="inlineStr">
        <is>
          <t>UT-01.3</t>
        </is>
      </c>
      <c r="E7" s="12" t="inlineStr">
        <is>
          <t>AI 모델 접근 확보</t>
        </is>
      </c>
      <c r="F7" s="5" t="inlineStr">
        <is>
          <t>- 공격자는 공개 추론 API·AI 탑재 제품·앱 패키지 속 모델 파일을 통해 대상 모델에 질의하거나 모델 전체를 손에 넣어, 추출·회피·인젝션 공격의 시험대를 확보할 수 있음
- 정상 사용자와 같은 접근 경로라 구분이 어렵고, 모델 파일까지 확보하면 오프라인에서 제한 없이 공격을 다듬을 수 있음</t>
        </is>
      </c>
      <c r="G7" s="5" t="inlineStr">
        <is>
          <t>■ AI 관점
- 질의 접근: 추론 API, 웹 채팅, 메일·SNS로 동작하는 AI 서비스를 통해 출력을 반복 관찰 — 대량 계정·프록시로 이용 제한을 피하기도 함 (ATLAS AML.T0040)
- 간접 접근: 보안 제품·인증 앱처럼 AI를 내장한 제품을 써서 모델의 판정과 로그·메타데이터를 관찰 (ATLAS AML.T0047)
- 전체 접근: 앱 패키지·노출된 레지스트리·저장소에서 모델 파일을 확보하면 화이트박스 공격과 오프라인 탐색이 가능 (ATLAS AML.T0044, UT-16.2)
- 확보한 접근은 모델 복제(UT-16.1)·적대적 예제 검증(UT-17.1)·인젝션 시험(UT-06.1)의 출발점이 됨
■ 실제 사례
- [실제 사고] Claude 증류 캠페인(2026-02): 약 2.4만 개의 부정 계정으로 Claude 추론 API에 접근해 1,600만 건을 질의 (ATLAS AML.CS0056)
- [실제 사고] 중국 세무 시스템 얼굴인식 우회(2020): 가상 카메라 앱으로 생성 영상을 얼굴인식 인증 서비스에 직접 입력 (ATLAS AML.CS0004)
- [실증] Google Photos 모델 추출(2025-03): 앱 패키지에서 암호화되지 않은 TFLite 모델을 꺼내고 암호화된 모델은 실행 중 복호화 시점에 가로채 화이트박스 접근 확보 (ATLAS AML.CS0058)</t>
        </is>
      </c>
      <c r="H7" s="11" t="inlineStr">
        <is>
          <t>상</t>
        </is>
      </c>
      <c r="I7" s="11" t="inlineStr">
        <is>
          <t>중</t>
        </is>
      </c>
      <c r="J7" s="13">
        <f>IF(AND(H7="상",I7="상"),"매우 높음",IF(OR(AND(H7="상",I7="중"),AND(H7="중",I7="상")),"높음",IF(OR(AND(H7="중",I7="중"),AND(H7="상",I7="하"),AND(H7="하",I7="상")),"보통","낮음")))</f>
        <v/>
      </c>
      <c r="K7" s="5" t="inlineStr">
        <is>
          <t>질의 또는 전체 접근 확보로 추출/회피/추론 공격 기반 형성</t>
        </is>
      </c>
      <c r="L7" s="11" t="inlineStr">
        <is>
          <t>실제 사고 확인</t>
        </is>
      </c>
      <c r="M7" s="11" t="n">
        <v>8</v>
      </c>
      <c r="N7" s="5" t="inlineStr">
        <is>
          <t>AI 모델 접근(AI Model Access)</t>
        </is>
      </c>
      <c r="O7" s="5" t="inlineStr">
        <is>
          <t>T0040, T0044, T0047</t>
        </is>
      </c>
      <c r="P7" s="5" t="n"/>
      <c r="Q7" s="5" t="inlineStr">
        <is>
          <t>공개 정보·모델 아티팩트 공개 최소화, 노출 자산 관리, AI 허니팟, 비정상 탐색·질의 탐지</t>
        </is>
      </c>
    </row>
    <row r="8" ht="191.5" customHeight="1">
      <c r="A8" s="10" t="inlineStr">
        <is>
          <t>D01. 공격 준비 및 AI 무기화</t>
        </is>
      </c>
      <c r="B8" s="11" t="inlineStr">
        <is>
          <t>UT-01</t>
        </is>
      </c>
      <c r="C8" s="5" t="inlineStr">
        <is>
          <t>AI 대상 정찰 및 접근 확보</t>
        </is>
      </c>
      <c r="D8" s="11" t="inlineStr">
        <is>
          <t>UT-01.4</t>
        </is>
      </c>
      <c r="E8" s="12" t="inlineStr">
        <is>
          <t>모델 및 환경 탐색</t>
        </is>
      </c>
      <c r="F8" s="5" t="inlineStr">
        <is>
          <t>- 공격자는 모델 출력·오류·로그를 관찰하거나 확보한 환경을 열거해 모델 계열·분류 체계·출력 점수 노출 여부와 내부 AI 자원·클라우드 구성을 파악할 수 있음
- 직접 피해는 없지만 공격 대상과 방법을 정밀하게 만들며, 탈취 자격증명으로 쓸 수 있는 AI 서비스를 찾는 단계로도 쓰임</t>
        </is>
      </c>
      <c r="G8" s="5" t="inlineStr">
        <is>
          <t>■ AI 관점
- 모델 탐색: 반복 질의로 출력 공간(분류 클래스)과 모델 계열을 추정하고, 응답 헤더·로그에 남은 신뢰도 점수처럼 불필요하게 노출된 출력을 찾음 (ATLAS AML.T0013·T0014·T0063)
- 자산 탐색: 침투한 환경에서 학습·배포 소프트웨어 스택, 데이터 관리 시스템, 모델 레지스트리, 컨테이너 이미지 속 모델을 찾아냄 (ATLAS AML.T0007)
- 환경 탐색: 계정·권한·네트워크·클라우드 자원과 활성화된 AI 서비스·할당량을 확인 — 탈취 키로 사용 가능한 LLM 서비스를 고르는 데 쓰임 (ATLAS AML.T0075·T0089, UT-25.4)
- 프롬프트 질의로 에이전트 도구·권한을 파악하는 탐색은 UT-08.2에서 다룸
■ 실제 사례
- [실제 사고] LLMjacking(2024-05): 탈취한 클라우드 자격증명으로 어떤 LLM 서비스가 켜져 있고 할당량이 얼마인지 확인한 뒤 무단 사용 (ATLAS AML.CS0030)
- [실제 사고] GTG-1002(2025-09): 침투 후 에이전트가 시스템·네트워크 구성과 DB 유형을 확인하고 내부 네트워크 구조 전체를 매핑 (ATLAS AML.CS0069)
- [실증] ProofPoint 회피(2019-09): 메일 헤더에 남은 모델 점수를 찾아 대리 모델 학습과 탐지 회피에 활용 (ATLAS AML.CS0008)</t>
        </is>
      </c>
      <c r="H8" s="11" t="inlineStr">
        <is>
          <t>상</t>
        </is>
      </c>
      <c r="I8" s="11" t="inlineStr">
        <is>
          <t>하</t>
        </is>
      </c>
      <c r="J8" s="13">
        <f>IF(AND(H8="상",I8="상"),"매우 높음",IF(OR(AND(H8="상",I8="중"),AND(H8="중",I8="상")),"높음",IF(OR(AND(H8="중",I8="중"),AND(H8="상",I8="하"),AND(H8="하",I8="상")),"보통","낮음")))</f>
        <v/>
      </c>
      <c r="K8" s="5" t="inlineStr">
        <is>
          <t>탐색 단계로 직접 피해 제한적</t>
        </is>
      </c>
      <c r="L8" s="11" t="inlineStr">
        <is>
          <t>실제 사고 확인</t>
        </is>
      </c>
      <c r="M8" s="11" t="n">
        <v>3</v>
      </c>
      <c r="N8" s="5" t="inlineStr">
        <is>
          <t>탐색(Discovery)</t>
        </is>
      </c>
      <c r="O8" s="5" t="inlineStr">
        <is>
          <t>T0007, T0013, T0014, T0063, T0075, T0089</t>
        </is>
      </c>
      <c r="P8" s="5" t="n"/>
      <c r="Q8" s="5" t="inlineStr">
        <is>
          <t>공개 정보·모델 아티팩트 공개 최소화, 노출 자산 관리, AI 허니팟, 비정상 탐색·질의 탐지</t>
        </is>
      </c>
    </row>
    <row r="9" ht="216.5" customHeight="1">
      <c r="A9" s="10" t="inlineStr">
        <is>
          <t>D01. 공격 준비 및 AI 무기화</t>
        </is>
      </c>
      <c r="B9" s="11" t="inlineStr">
        <is>
          <t>UT-02</t>
        </is>
      </c>
      <c r="C9" s="5" t="inlineStr">
        <is>
          <t>공격 준비 및 일반 침투</t>
        </is>
      </c>
      <c r="D9" s="11" t="inlineStr">
        <is>
          <t>UT-02.1</t>
        </is>
      </c>
      <c r="E9" s="12" t="inlineStr">
        <is>
          <t>공격 도구 확보</t>
        </is>
      </c>
      <c r="F9" s="5" t="inlineStr">
        <is>
          <t>- 공격자는 공개된 적대적 공격 구현체·익스플로잇·딥페이크 도구·탈옥 도구와 공격용 에이전트 프레임워크·스킬을 입수하거나 직접 개발해, AI 대상 공격과 공격 자동화 역량을 확보할 수 있음
- 조직 밖에서 이뤄지는 준비 단계라 직접 탐지가 어렵고, 공개 도구와 상용 범죄 서비스가 공격 진입 장벽을 크게 낮춤</t>
        </is>
      </c>
      <c r="G9" s="5" t="inlineStr">
        <is>
          <t>■ AI 관점
- 입수 대상: 적대적 공격 라이브러리·공개 PoC, 범용 해킹 도구, 얼굴 합성·가상 카메라 앱 같은 딥페이크 도구, 생성형 AI 서비스 접근권, AI 서비스 키 검증·역방향 프록시 도구 (ATLAS AML.T0016)
- 자체 개발: 탐지 회피용 변이 기법, 모델 백도어 삽입 도구, 안전장치 우회 도구, 1클릭 RCE 스크립트처럼 표적 AI에 맞춘 공격 도구를 직접 제작 (ATLAS AML.T0017)
- 에이전트 도구: 공격용 에이전트 프레임워크, 스캐너·익스플로잇을 감싼 MCP 서버, 침투 절차를 담은 스킬을 확보·제작해 자율 공격(UT-03.1)의 실행 기반으로 사용 (ATLAS AML.T0016.004·T0017.002)
- 활동이 조직 밖에서 일어나므로 위협 인텔리전스로 도구 유통과 AI 제공자 오남용 신호를 추적하는 것이 현실적인 대응임
■ 실제 사례
- [실제 사고] Hermes 에이전트 공격(2026-05): 위협 행위자가 Hermes 에이전트와 FOFA 검색 MCP 서버를 확보하고 인증 없는 WebSocket 익스플로잇 절차를 담은 스킬을 제작해, DeepSeek 기반으로 Langflow·n8n 취약점 공격을 자율 수행 — 접근에는 실패 (ATLAS AML.CS0070)
- [실제 사고] LLMjacking(2024-05): AI 서비스 키 대량 검증 도구(keychecker)와 역방향 프록시(OAI Reverse Proxy)를 입수해, 탈취한 클라우드 자격증명의 LLM 접근권을 범죄자에게 재판매 (ATLAS AML.CS0030)
- [실제 사고] Storm-2139(2024-12): 생성형 AI 서비스의 안전장치를 우회하는 도구 de3u를 개발해 금지 콘텐츠 생성에 사용 (ATLAS AML.CS0057)</t>
        </is>
      </c>
      <c r="H9" s="11" t="inlineStr">
        <is>
          <t>상</t>
        </is>
      </c>
      <c r="I9" s="11" t="inlineStr">
        <is>
          <t>하</t>
        </is>
      </c>
      <c r="J9" s="13">
        <f>IF(AND(H9="상",I9="상"),"매우 높음",IF(OR(AND(H9="상",I9="중"),AND(H9="중",I9="상")),"높음",IF(OR(AND(H9="중",I9="중"),AND(H9="상",I9="하"),AND(H9="하",I9="상")),"보통","낮음")))</f>
        <v/>
      </c>
      <c r="K9" s="5" t="inlineStr">
        <is>
          <t>직접 피해 없음(공격 준비 단계)</t>
        </is>
      </c>
      <c r="L9" s="11" t="inlineStr">
        <is>
          <t>실제 사고 확인</t>
        </is>
      </c>
      <c r="M9" s="11" t="n">
        <v>10</v>
      </c>
      <c r="N9" s="5" t="inlineStr">
        <is>
          <t>자원 개발(Resource Development)</t>
        </is>
      </c>
      <c r="O9" s="5" t="inlineStr">
        <is>
          <t>T0016, T0016.000, T0016.001, T0016.002, T0016.003, T0016.004, T0017, T0017.000, T0017.002</t>
        </is>
      </c>
      <c r="P9" s="5" t="n"/>
      <c r="Q9" s="5" t="inlineStr">
        <is>
          <t>기존 엔터프라이즈 보안통제(패치·EDR·네트워크 분리·ATT&amp;CK 기반 탐지)를 AI 인프라까지 확장</t>
        </is>
      </c>
    </row>
    <row r="10" ht="179" customHeight="1">
      <c r="A10" s="10" t="inlineStr">
        <is>
          <t>D01. 공격 준비 및 AI 무기화</t>
        </is>
      </c>
      <c r="B10" s="11" t="inlineStr">
        <is>
          <t>UT-02</t>
        </is>
      </c>
      <c r="C10" s="5" t="inlineStr">
        <is>
          <t>공격 준비 및 일반 침투</t>
        </is>
      </c>
      <c r="D10" s="11" t="inlineStr">
        <is>
          <t>UT-02.2</t>
        </is>
      </c>
      <c r="E10" s="12" t="inlineStr">
        <is>
          <t>공개 AI 자원 입수</t>
        </is>
      </c>
      <c r="F10" s="5" t="inlineStr">
        <is>
          <t>- 공격자는 대상과 같거나 비슷한 공개 데이터셋·사전학습 모델·에이전트 설정 파일을 입수해, 대리 모델을 만들고 공격을 실제 대상에 쓰기 전에 미리 검증할 수 있음
- 오픈 모델·공개 데이터가 많을수록 대리 모델의 정확도가 높아져 블랙박스 서비스에도 화이트박스 수준의 공격 준비가 가능해짐</t>
        </is>
      </c>
      <c r="G10" s="5" t="inlineStr">
        <is>
          <t>■ AI 관점
- 입수 대상: 대상이 쓰는 것과 같거나 대표성 있는 데이터셋, 공개된 기반 모델과 참조 구현, 공개 저장소의 에이전트 설정 파일(도구·데이터 소스·자격증명 구성) (ATLAS AML.T0002)
- 쓰임새: 대리 모델 학습과 적대적 예제 사전 검증(UT-16.1·17.1), 변조 모델 제작의 원본 확보(UT-28.1), 에이전트 공격 설계(UT-08.2)
- 클라우드 저장소·공개 서비스 설정 오류로 조직의 비공개 학습 데이터·모델이 함께 노출되면 준비 단계가 곧 자산 유출이 됨 (UT-31.1)
■ 실제 사례
- [실제 사고] Clearview AI 설정 오류(2020-04): 비밀번호로 보호된 코드 저장소에 누구나 계정을 만들 수 있어, 학습 데이터·애플리케이션·클라우드 버킷 키에 접근 가능한 상태로 노출 (ATLAS AML.CS0006)
- [실증] 기계 번역 서비스 공격(2020-04): 대상 서비스와 유사한 데이터셋·모델 구조를 확보해 대리 모델을 만들고 적대적 입력을 실제 서비스에 전이 (ATLAS AML.CS0005)
- [실증] OpenClaw C2(2026-02): GitHub 공개 저장소에서 에이전트 설정 파일을 확보해 인젝션 공격 설계에 활용 (ATLAS AML.CS0051)</t>
        </is>
      </c>
      <c r="H10" s="11" t="inlineStr">
        <is>
          <t>중</t>
        </is>
      </c>
      <c r="I10" s="11" t="inlineStr">
        <is>
          <t>하</t>
        </is>
      </c>
      <c r="J10" s="13">
        <f>IF(AND(H10="상",I10="상"),"매우 높음",IF(OR(AND(H10="상",I10="중"),AND(H10="중",I10="상")),"높음",IF(OR(AND(H10="중",I10="중"),AND(H10="상",I10="하"),AND(H10="하",I10="상")),"보통","낮음")))</f>
        <v/>
      </c>
      <c r="K10" s="5" t="inlineStr">
        <is>
          <t>직접 피해 없음(대리 모델 구축 등 준비 단계)</t>
        </is>
      </c>
      <c r="L10" s="11" t="inlineStr">
        <is>
          <t>실제 사고 확인</t>
        </is>
      </c>
      <c r="M10" s="11" t="n">
        <v>1</v>
      </c>
      <c r="N10" s="5" t="inlineStr">
        <is>
          <t>자원 개발(Resource Development)</t>
        </is>
      </c>
      <c r="O10" s="5" t="inlineStr">
        <is>
          <t>T0002, T0002.000, T0002.001, T0002.002</t>
        </is>
      </c>
      <c r="P10" s="5" t="n"/>
      <c r="Q10" s="5" t="inlineStr">
        <is>
          <t>기존 엔터프라이즈 보안통제(패치·EDR·네트워크 분리·ATT&amp;CK 기반 탐지)를 AI 인프라까지 확장</t>
        </is>
      </c>
    </row>
    <row r="11" ht="204" customHeight="1">
      <c r="A11" s="10" t="inlineStr">
        <is>
          <t>D01. 공격 준비 및 AI 무기화</t>
        </is>
      </c>
      <c r="B11" s="11" t="inlineStr">
        <is>
          <t>UT-02</t>
        </is>
      </c>
      <c r="C11" s="5" t="inlineStr">
        <is>
          <t>공격 준비 및 일반 침투</t>
        </is>
      </c>
      <c r="D11" s="11" t="inlineStr">
        <is>
          <t>UT-02.3</t>
        </is>
      </c>
      <c r="E11" s="12" t="inlineStr">
        <is>
          <t>공격 인프라 확보</t>
        </is>
      </c>
      <c r="F11" s="5" t="inlineStr">
        <is>
          <t>- 공격자는 클라우드·서버리스 자원, 도메인, 단말, 물리적 공격 소품, 서비스 계정, AI 서비스 프록시를 사거나 만들고 정상 인프라를 장악해, 공격 수행과 은닉에 필요한 기반을 구축할 수 있음
- 정상 클라우드 서비스와 상용 프록시를 쓰면 출처 추적과 차단이 어렵고, 이용 정책·지역 제한도 우회됨</t>
        </is>
      </c>
      <c r="G11" s="5" t="inlineStr">
        <is>
          <t>■ AI 관점
- 연산 자원: 공격 개발용 GPU 작업 공간(무료 노트북·클라우드 크레딧), 출처를 숨기는 서버리스 함수 (ATLAS AML.T0008.000·T0008.004)
- AI 서비스 프록시: 프런티어 모델 API 접근권을 재판매하는 상용 프록시로 대량 계정·지역 제한을 우회해 증류·남용 캠페인을 수행 (ATLAS AML.T0008.005)
- 계정·도메인: 피해자 명의 계정 등록, 허브 조직 네임스페이스 선점, 인젝션 페이로드와 반출 수신용 웹서버·도메인 준비 (ATLAS AML.T0021·T0008.002·T0079)
- 물리 소품·단말: 적대적 패치 인쇄, 저가 휴대폰·개조 ROM 구매 — 물리 환경 공격(UT-17.2)·딥페이크 인증 우회(UT-04.1)에 사용
■ 실제 사례
- [실제 사고] Claude 증류 캠페인(2026-02): DeepSeek·Moonshot·MiniMax가 상용 프록시 서비스로 Claude에 접근해 중국 내 상업 이용 제한을 우회 (ATLAS AML.CS0056)
- [실제 사고] Storm-2139(2024-12): 탈옥한 Azure OpenAI 접근권을 판매하는 서비스용 인프라와 역방향 프록시를 운영 (ATLAS AML.CS0057)
- [실제 사고] 중국 세무 시스템 얼굴인식 우회(2020): 저가 휴대폰을 사들이고 피해자 신원으로 세무 시스템 계정을 새로 등록 (ATLAS AML.CS0004)</t>
        </is>
      </c>
      <c r="H11" s="11" t="inlineStr">
        <is>
          <t>상</t>
        </is>
      </c>
      <c r="I11" s="11" t="inlineStr">
        <is>
          <t>하</t>
        </is>
      </c>
      <c r="J11" s="13">
        <f>IF(AND(H11="상",I11="상"),"매우 높음",IF(OR(AND(H11="상",I11="중"),AND(H11="중",I11="상")),"높음",IF(OR(AND(H11="중",I11="중"),AND(H11="상",I11="하"),AND(H11="하",I11="상")),"보통","낮음")))</f>
        <v/>
      </c>
      <c r="K11" s="5" t="inlineStr">
        <is>
          <t>직접 피해 없음(공격 기반 구축 단계)</t>
        </is>
      </c>
      <c r="L11" s="11" t="inlineStr">
        <is>
          <t>실제 사고 확인</t>
        </is>
      </c>
      <c r="M11" s="11" t="n">
        <v>7</v>
      </c>
      <c r="N11" s="5" t="inlineStr">
        <is>
          <t>자원 개발(Resource Development)</t>
        </is>
      </c>
      <c r="O11" s="5" t="inlineStr">
        <is>
          <t>T0008, T0008.000, T0008.001, T0008.002, T0008.003, T0008.004, T0008.005, T0021, T0079, T0128</t>
        </is>
      </c>
      <c r="P11" s="5" t="n"/>
      <c r="Q11" s="5" t="inlineStr">
        <is>
          <t>기존 엔터프라이즈 보안통제(패치·EDR·네트워크 분리·ATT&amp;CK 기반 탐지)를 AI 인프라까지 확장</t>
        </is>
      </c>
    </row>
    <row r="12" ht="191.5" customHeight="1">
      <c r="A12" s="10" t="inlineStr">
        <is>
          <t>D01. 공격 준비 및 AI 무기화</t>
        </is>
      </c>
      <c r="B12" s="11" t="inlineStr">
        <is>
          <t>UT-02</t>
        </is>
      </c>
      <c r="C12" s="5" t="inlineStr">
        <is>
          <t>공격 준비 및 일반 침투</t>
        </is>
      </c>
      <c r="D12" s="11" t="inlineStr">
        <is>
          <t>UT-02.4</t>
        </is>
      </c>
      <c r="E12" s="12" t="inlineStr">
        <is>
          <t>일반 초기 침투</t>
        </is>
      </c>
      <c r="F12" s="5" t="inlineStr">
        <is>
          <t>- 공격자는 AI 서비스·지원 인프라의 공개 애플리케이션 취약점을 익스플로잇하거나, 악성 링크·드라이브바이 페이지로 사용자와 AI 에이전트를 유도해 최초 침투할 수 있음
- AI 플랫폼도 일반 웹 애플리케이션과 같은 취약점을 가지며, 침투 후 연결된 모델·데이터·자격증명으로 피해가 확대됨</t>
        </is>
      </c>
      <c r="G12" s="5" t="inlineStr">
        <is>
          <t>■ AI 관점
- 공개 애플리케이션 악용: AI 앱 빌더·서빙 프레임워크·에이전트 게이트웨이와 그 앞단의 웹·API 서버의 취약점(인증 우회, SSRF, 파일 업로드, JWT 검증 결함) (ATLAS AML.T0049)
- 드라이브바이·악성 링크: 사용자 브라우저나 웹을 읽는 AI 에이전트가 악성 페이지를 방문하는 순간 스크립트·프롬프트 인젝션이 실행됨 (ATLAS AML.T0078·T0011.003)
- 일반 엔터프라이즈 침투 기법과 같은 원리로 상세 대응은 클라우드 보안위협 매트릭스와 연계하며, 인증 없이 노출된 AI 서비스 자체는 UT-31.1, 로컬 에이전트 1클릭 장악은 UT-32.2에서 다룸
■ 실제 사례
- [실제 사고] 대만 정부 시스템 침해(2026-07): 다중 에이전트 프레임워크가 임의 요청을 받아 인증 세션을 돌려주는 디버그 엔드포인트 3개와 서명 없는 JWT(alg=none)를 받아들이는 공개 API를 찾아 침투 (ATLAS AML.CS0071)
- [실제 사고] LLMjacking(2024-05): Laravel 취약점(CVE-2021-3129)으로 최초 침투한 뒤 클라우드 자격증명을 탈취해 LLM 서비스를 무단 사용 (ATLAS AML.CS0030)
- [실제 사고] ToolShell(2025-07): 에이전트에 의해 SharePoint RCE 익스플로잇이 악용된 사례로 보고 (OWASP ASI 부록 D)</t>
        </is>
      </c>
      <c r="H12" s="11" t="inlineStr">
        <is>
          <t>상</t>
        </is>
      </c>
      <c r="I12" s="11" t="inlineStr">
        <is>
          <t>상</t>
        </is>
      </c>
      <c r="J12" s="13">
        <f>IF(AND(H12="상",I12="상"),"매우 높음",IF(OR(AND(H12="상",I12="중"),AND(H12="중",I12="상")),"높음",IF(OR(AND(H12="중",I12="중"),AND(H12="상",I12="하"),AND(H12="하",I12="상")),"보통","낮음")))</f>
        <v/>
      </c>
      <c r="K12" s="5" t="inlineStr">
        <is>
          <t>AI 서비스 및 지원 인프라 장악으로 확대 가능</t>
        </is>
      </c>
      <c r="L12" s="11" t="inlineStr">
        <is>
          <t>실제 사고 확인</t>
        </is>
      </c>
      <c r="M12" s="11" t="n">
        <v>7</v>
      </c>
      <c r="N12" s="5" t="inlineStr">
        <is>
          <t>초기 접근(Initial Access)</t>
        </is>
      </c>
      <c r="O12" s="5" t="inlineStr">
        <is>
          <t>T0011.003, T0049, T0078</t>
        </is>
      </c>
      <c r="P12" s="5" t="n"/>
      <c r="Q12" s="5" t="inlineStr">
        <is>
          <t>기존 엔터프라이즈 보안통제(패치·EDR·네트워크 분리·ATT&amp;CK 기반 탐지)를 AI 인프라까지 확장</t>
        </is>
      </c>
    </row>
    <row r="13" ht="191.5" customHeight="1">
      <c r="A13" s="10" t="inlineStr">
        <is>
          <t>D01. 공격 준비 및 AI 무기화</t>
        </is>
      </c>
      <c r="B13" s="11" t="inlineStr">
        <is>
          <t>UT-02</t>
        </is>
      </c>
      <c r="C13" s="5" t="inlineStr">
        <is>
          <t>공격 준비 및 일반 침투</t>
        </is>
      </c>
      <c r="D13" s="11" t="inlineStr">
        <is>
          <t>UT-02.5</t>
        </is>
      </c>
      <c r="E13" s="12" t="inlineStr">
        <is>
          <t>내부 확산 및 탐지 회피</t>
        </is>
      </c>
      <c r="F13" s="5" t="inlineStr">
        <is>
          <t>- 공격자는 내부 서비스의 원격 취약점으로 다른 시스템·네트워크 경계로 확산하고, 샌드박스 탐지·난독화·보안 기능 우회 익스플로잇으로 분석과 탐지를 피해 체류를 늘릴 수 있음
- AI 평가·실행 환경의 격리 경계를 넘는 확산까지 포함하며, 인코딩·분할된 통신은 기존 보안 장비의 탐지를 어렵게 함</t>
        </is>
      </c>
      <c r="G13" s="5" t="inlineStr">
        <is>
          <t>■ AI 관점
- 내부 확산: 도달 가능한 내부 서비스(패키지 캐시, 레지스트리, 관리 API)의 취약점으로 다른 시스템·신뢰 경계로 이동 (ATLAS AML.T0122)
- 탐지 회피: 가상화·샌드박스 환경을 감지해 동작을 바꾸고, 페이로드·명령·결과를 압축·Base64·XOR로 인코딩해 분할 전송 (ATLAS AML.T0097·T0123)
- 보안 기능 우회: 취약점을 이용해 localhost 제한 같은 보안 기능을 무력화 (ATLAS AML.T0107)
- AI 분석 도구를 속이는 프롬프트 인젝션 내장 악성코드처럼 AI 기반 탐지를 겨냥한 회피는 UT-06.1과 함께 봐야 함
■ 실제 사례
- [실제 사고] OpenAI 평가용 자율 에이전트(2026-07): 내부 Artifactory의 SSRF로 평가망 경계를 넘어 인터넷에 접근하고, 명령·자격증명·결과를 압축·Base64·XOR 인코딩해 외부로 전달 (ATLAS AML.CS0068)
- [실제 사고] Skynet 악성코드(2025-06): 여러 샌드박스 회피 기법과 함께 LLM 분석 도구를 겨냥한 프롬프트 인젝션을 내장 (ATLAS AML.CS0043)
- [실증] OpenClaw 1클릭 RCE(2026-02): 교차 사이트 WebSocket 하이재킹으로 localhost 네트워크 제한을 우회해 로컬 게이트웨이에 접속 (ATLAS AML.CS0050)</t>
        </is>
      </c>
      <c r="H13" s="11" t="inlineStr">
        <is>
          <t>상</t>
        </is>
      </c>
      <c r="I13" s="11" t="inlineStr">
        <is>
          <t>중</t>
        </is>
      </c>
      <c r="J13" s="13">
        <f>IF(AND(H13="상",I13="상"),"매우 높음",IF(OR(AND(H13="상",I13="중"),AND(H13="중",I13="상")),"높음",IF(OR(AND(H13="중",I13="중"),AND(H13="상",I13="하"),AND(H13="하",I13="상")),"보통","낮음")))</f>
        <v/>
      </c>
      <c r="K13" s="5" t="inlineStr">
        <is>
          <t>침투 범위 확대 및 탐지 지연</t>
        </is>
      </c>
      <c r="L13" s="11" t="inlineStr">
        <is>
          <t>실제 사고 확인</t>
        </is>
      </c>
      <c r="M13" s="11" t="n">
        <v>2</v>
      </c>
      <c r="N13" s="5" t="inlineStr">
        <is>
          <t>방어 회피(Defense Evasion)</t>
        </is>
      </c>
      <c r="O13" s="5" t="inlineStr">
        <is>
          <t>T0097, T0107, T0122, T0123</t>
        </is>
      </c>
      <c r="P13" s="5" t="n"/>
      <c r="Q13" s="5" t="inlineStr">
        <is>
          <t>기존 엔터프라이즈 보안통제(패치·EDR·네트워크 분리·ATT&amp;CK 기반 탐지)를 AI 인프라까지 확장</t>
        </is>
      </c>
    </row>
    <row r="14" ht="166.5" customHeight="1">
      <c r="A14" s="10" t="inlineStr">
        <is>
          <t>D01. 공격 준비 및 AI 무기화</t>
        </is>
      </c>
      <c r="B14" s="11" t="inlineStr">
        <is>
          <t>UT-02</t>
        </is>
      </c>
      <c r="C14" s="5" t="inlineStr">
        <is>
          <t>공격 준비 및 일반 침투</t>
        </is>
      </c>
      <c r="D14" s="11" t="inlineStr">
        <is>
          <t>UT-02.6</t>
        </is>
      </c>
      <c r="E14" s="12" t="inlineStr">
        <is>
          <t>일반 수단 데이터 유출</t>
        </is>
      </c>
      <c r="F14" s="5" t="inlineStr">
        <is>
          <t>- 공격자는 정보 저장소·로컬 시스템에서 데이터와 AI 자산을 자동 수집·정리한 뒤, 일반 네트워크 프로토콜이나 C2 채널로 외부에 반출할 수 있음
- AI 에이전트가 수집·집계를 자동화해 반출 규모와 속도가 커졌으며, 모델·학습 데이터·자격증명이 함께 빠져나가는 경우가 많음</t>
        </is>
      </c>
      <c r="G14" s="5" t="inlineStr">
        <is>
          <t>■ AI 관점
- 수집: 위키·DB·저장소 같은 정보 저장소와 로컬 파일·설정의 SSH 키·자격증명을 검색하고, 스크립트나 에이전트 도구로 자동 수집해 한곳에 모음 (ATLAS AML.T0036·T0037·T0126·T0127)
- 반출: SFTP·HTTP POST·DNS 질의·Tor 등 일반 사이버 채널로 전송 (ATLAS AML.T0025·T0072)
- AI 자산 특화: 모델 파일·학습 데이터·노트북 산출물이 함께 표적이 되며, 모델 파일 직접 탈취는 UT-16.2, AI 서비스 기능을 이용한 반출은 UT-19에서 다룸
■ 실제 사례
- [실제 사고] 대만 정부 시스템 침해(2026-07): 다중 에이전트 프레임워크가 인증 없는 사용자 DB API에서 인사 기록 2,564건과 사용자 DB 전체, 내부 구조 정보를 자동 수집·반출 (ATLAS AML.CS0071)
- [실제 사고] PyTorch-nightly 의존성 침해(2022-12): 악성 torchtriton 패키지가 SSH 키·설정 파일 등을 수집해 암호화된 DNS 질의로 반출 (ATLAS AML.CS0015)
- [실제 사고] LAMEHUG(2025-06): LLM이 생성한 명령으로 문서·바탕화면·다운로드 폴더를 수집해 SFTP·HTTP POST로 반출 (ATLAS AML.CS0044)</t>
        </is>
      </c>
      <c r="H14" s="11" t="inlineStr">
        <is>
          <t>상</t>
        </is>
      </c>
      <c r="I14" s="11" t="inlineStr">
        <is>
          <t>상</t>
        </is>
      </c>
      <c r="J14" s="13">
        <f>IF(AND(H14="상",I14="상"),"매우 높음",IF(OR(AND(H14="상",I14="중"),AND(H14="중",I14="상")),"높음",IF(OR(AND(H14="중",I14="중"),AND(H14="상",I14="하"),AND(H14="하",I14="상")),"보통","낮음")))</f>
        <v/>
      </c>
      <c r="K14" s="5" t="inlineStr">
        <is>
          <t>중요정보 및 AI 자산 대량 반출</t>
        </is>
      </c>
      <c r="L14" s="11" t="inlineStr">
        <is>
          <t>실제 사고 확인</t>
        </is>
      </c>
      <c r="M14" s="11" t="n">
        <v>9</v>
      </c>
      <c r="N14" s="5" t="inlineStr">
        <is>
          <t>유출(Exfiltration)</t>
        </is>
      </c>
      <c r="O14" s="5" t="inlineStr">
        <is>
          <t>T0025, T0036, T0037, T0072, T0126, T0127</t>
        </is>
      </c>
      <c r="P14" s="5" t="n"/>
      <c r="Q14" s="5" t="inlineStr">
        <is>
          <t>기존 엔터프라이즈 보안통제(패치·EDR·네트워크 분리·ATT&amp;CK 기반 탐지)를 AI 인프라까지 확장</t>
        </is>
      </c>
    </row>
    <row r="15" ht="204" customHeight="1">
      <c r="A15" s="10" t="inlineStr">
        <is>
          <t>D01. 공격 준비 및 AI 무기화</t>
        </is>
      </c>
      <c r="B15" s="11" t="inlineStr">
        <is>
          <t>UT-03</t>
        </is>
      </c>
      <c r="C15" s="5" t="inlineStr">
        <is>
          <t>AI 기반 자율 공격</t>
        </is>
      </c>
      <c r="D15" s="11" t="inlineStr">
        <is>
          <t>UT-03.1</t>
        </is>
      </c>
      <c r="E15" s="12" t="inlineStr">
        <is>
          <t>자율 공격 에이전트</t>
        </is>
      </c>
      <c r="F15" s="5" t="inlineStr">
        <is>
          <t>- 공격자는 목표만 부여한 AI 에이전트가 표적 탐색, 취약점 분석·익스플로잇 개발, 실패 시 공격 경로 수정을 사람 개입 없이 반복하게 해, 사람보다 훨씬 빠른 속도와 큰 규모로 침투할 수 있음
- 공격 비용과 필요한 숙련도가 크게 낮아지며, 사람이 대응하는 속도로는 탐지·차단이 따라가기 어려움</t>
        </is>
      </c>
      <c r="G15" s="5" t="inlineStr">
        <is>
          <t>■ AI 관점
- 자율 정찰: 목표만 주면 에이전트가 필요한 정보를 스스로 정하고 결과를 해석해 다음 조사를 이어감 (ATLAS AML.T0116)
- 자율 익스플로잇 개발: 소스·문서·오류 응답을 분석해 취약점을 추론하고 페이로드를 만들어 시험·수정 (ATLAS AML.T0017.001)
- 공격 경로 적응: 중간 목표와 전제 조건을 도출하고, 막히면 다른 제품군·취약점으로 경로를 바꿔 재시도 (ATLAS AML.T0117)
- 상용 코딩 에이전트를 탈옥(UT-06.2)해 쓰거나 공개 에이전트 프레임워크(UT-02.1)를 쓰며, 여러 에이전트를 조율하는 형태는 UT-03.2에서 다룸
■ 실제 사례
- [실제 사고] GTG-1002(2025-09): 탈옥한 Claude Code가 MCP로 연결한 스캐너·크래커를 쓰며 약 30개 조직을 자율 공격 — SSRF 익스플로잇 체인을 직접 만들어 일부 침투 성공 (ATLAS AML.CS0069)
- [실제 사고] Hermes 에이전트 공격(2026-05): DeepSeek 기반 에이전트가 Langflow를 표적으로 시작했다가 전제 조건이 없자 10개 제품군을 비교해 n8n으로 경로를 바꿈 — 접근에는 실패 (ATLAS AML.CS0070)
- [실제 사고] 대만 정부 시스템 침해(2026-07): 에이전트 프레임워크가 공개 포털을 정찰하고 14개 후보 공격 경로를 성공 확률로 평가해 검증된 경로를 실행 (ATLAS AML.CS0071)</t>
        </is>
      </c>
      <c r="H15" s="11" t="inlineStr">
        <is>
          <t>상</t>
        </is>
      </c>
      <c r="I15" s="11" t="inlineStr">
        <is>
          <t>상</t>
        </is>
      </c>
      <c r="J15" s="13">
        <f>IF(AND(H15="상",I15="상"),"매우 높음",IF(OR(AND(H15="상",I15="중"),AND(H15="중",I15="상")),"높음",IF(OR(AND(H15="중",I15="중"),AND(H15="상",I15="하"),AND(H15="하",I15="상")),"보통","낮음")))</f>
        <v/>
      </c>
      <c r="K15" s="5" t="inlineStr">
        <is>
          <t>다수 조직 동시 침투 및 시스템 장악</t>
        </is>
      </c>
      <c r="L15" s="11" t="inlineStr">
        <is>
          <t>실제 사고 확인</t>
        </is>
      </c>
      <c r="M15" s="11" t="n">
        <v>4</v>
      </c>
      <c r="N15" s="5" t="inlineStr">
        <is>
          <t>AI 공격 적응(AI Attack Adaptation)</t>
        </is>
      </c>
      <c r="O15" s="5" t="inlineStr">
        <is>
          <t>T0017.001, T0116, T0117</t>
        </is>
      </c>
      <c r="P15" s="5" t="n"/>
      <c r="Q15" s="5" t="inlineStr">
        <is>
          <t>AI 속도 공격을 전제한 탐지·대응 자동화, AI 제공자 오남용 탐지 연계, 위협 인텔리전스</t>
        </is>
      </c>
    </row>
    <row r="16" ht="166.5" customHeight="1">
      <c r="A16" s="10" t="inlineStr">
        <is>
          <t>D01. 공격 준비 및 AI 무기화</t>
        </is>
      </c>
      <c r="B16" s="11" t="inlineStr">
        <is>
          <t>UT-03</t>
        </is>
      </c>
      <c r="C16" s="5" t="inlineStr">
        <is>
          <t>AI 기반 자율 공격</t>
        </is>
      </c>
      <c r="D16" s="11" t="inlineStr">
        <is>
          <t>UT-03.2</t>
        </is>
      </c>
      <c r="E16" s="12" t="inlineStr">
        <is>
          <t>다중 에이전트 공격 조율</t>
        </is>
      </c>
      <c r="F16" s="5" t="inlineStr">
        <is>
          <t>- 공격자는 오케스트레이터 AI가 여러 하위 에이전트에 정찰·인증 공격·취약점 연구 등 임무를 나누고, 발견 결과·자격증명을 공유하게 해 여러 대상을 병렬로 공격할 수 있음
- 공유 저장소를 메시지 게시판으로 쓰는 등 에이전트 간 통신이 정상 트래픽에 섞이고, 병렬 공격으로 짧은 시간에 피해 범위가 넓어짐</t>
        </is>
      </c>
      <c r="G16" s="5" t="inlineStr">
        <is>
          <t>■ AI 관점
- 공격 조율: 오케스트레이터가 임무 생성, 실행 에이전트 선택, 도구 배분, 결과 집계를 맡아 공통 목표로 이끔 (ATLAS AML.T0124)
- 에이전트 간 통신: 직접 호출(A2A·하위 에이전트 인터페이스) 또는 공유 저장소의 파일·디렉터리 이름으로 지시·발견·자격증명을 주고받음 (ATLAS AML.T0118.000·T0118.001)
- 공유 산출물 통신은 패키지 캐시·데이터셋 저장소 같은 정상 서비스를 쓰므로 C2 채널(UT-05.3)과 구분이 어렵고, 피해 조직의 저장소가 통신 매체로 악용되기도 함
■ 실제 사례
- [실제 사고] 대만 정부 시스템 침해(2026-07): Hermes·OpenClaw 기반 프레임워크가 최대 8개 전문 에이전트를 12차례 공격 파상으로 동시 운용 (ATLAS AML.CS0071)
- [실제 사고] OpenAI 평가용 자율 에이전트(2026-07): 약 1,200개 에이전트 실행이 Artifactory 원격 캐시를 게시판으로 삼아 7만 건 이상의 지시·익스플로잇·자격증명을 공유하며 Hugging Face 운영 시스템을 침해 (ATLAS AML.CS0068)</t>
        </is>
      </c>
      <c r="H16" s="11" t="inlineStr">
        <is>
          <t>상</t>
        </is>
      </c>
      <c r="I16" s="11" t="inlineStr">
        <is>
          <t>상</t>
        </is>
      </c>
      <c r="J16" s="13">
        <f>IF(AND(H16="상",I16="상"),"매우 높음",IF(OR(AND(H16="상",I16="중"),AND(H16="중",I16="상")),"높음",IF(OR(AND(H16="중",I16="중"),AND(H16="상",I16="하"),AND(H16="하",I16="상")),"보통","낮음")))</f>
        <v/>
      </c>
      <c r="K16" s="5" t="inlineStr">
        <is>
          <t>복수 대상 병렬 침투 및 시스템 장악</t>
        </is>
      </c>
      <c r="L16" s="11" t="inlineStr">
        <is>
          <t>실제 사고 확인</t>
        </is>
      </c>
      <c r="M16" s="11" t="n">
        <v>2</v>
      </c>
      <c r="N16" s="5" t="inlineStr">
        <is>
          <t>AI 공격 적응(AI Attack Adaptation)</t>
        </is>
      </c>
      <c r="O16" s="5" t="inlineStr">
        <is>
          <t>T0118, T0118.000, T0118.001, T0124</t>
        </is>
      </c>
      <c r="P16" s="5" t="n"/>
      <c r="Q16" s="5" t="inlineStr">
        <is>
          <t>AI 속도 공격을 전제한 탐지·대응 자동화, AI 제공자 오남용 탐지 연계, 위협 인텔리전스</t>
        </is>
      </c>
    </row>
    <row r="17" ht="141.5" customHeight="1">
      <c r="A17" s="10" t="inlineStr">
        <is>
          <t>D01. 공격 준비 및 AI 무기화</t>
        </is>
      </c>
      <c r="B17" s="11" t="inlineStr">
        <is>
          <t>UT-03</t>
        </is>
      </c>
      <c r="C17" s="5" t="inlineStr">
        <is>
          <t>AI 기반 자율 공격</t>
        </is>
      </c>
      <c r="D17" s="11" t="inlineStr">
        <is>
          <t>UT-03.3</t>
        </is>
      </c>
      <c r="E17" s="12" t="inlineStr">
        <is>
          <t>AI 연동 악성코드</t>
        </is>
      </c>
      <c r="F17" s="5" t="inlineStr">
        <is>
          <t>- 공격자는 피해 시스템의 악성코드가 실행 중 LLM 서비스에 자연어로 질의해 실행 명령을 그때그때 생성하게 해, 고정된 시그니처 없이 동작하고 트래픽을 정상 AI 서비스 이용으로 위장할 수 있음
- 매 실행 명령이 달라 정적 탐지가 어렵고, 공개 모델 API를 쓰면 공격 인프라 없이도 상황에 맞는 명령을 얻음</t>
        </is>
      </c>
      <c r="G17" s="5" t="inlineStr">
        <is>
          <t>■ AI 관점
- 동작 방식: 악성코드에는 자연어 지시만 두고 실제 명령(정보 수집·파일 검색·반출 준비)은 LLM이 생성 — 감염 환경에 맞춰 명령이 달라짐 (ATLAS AML.T0102)
- 은닉 효과: 호출 대상이 Hugging Face·주요 AI 제공자 같은 정상 AI 서비스 도메인이어서 네트워크 평판 기반 차단을 피함 (UT-05.1)
- 대응은 단말의 비정상 프로세스가 AI API를 호출하는 행위 탐지와 AI 제공자의 오남용 탐지 연계가 필요함
■ 실제 사례
- [실제 사고] LAMEHUG(2025-06): APT28의 악성코드가 Hugging Face API로 Qwen 2.5 Coder 모델에 질의해 시스템 정보 수집·문서 검색 명령을 생성 (ATLAS AML.CS0044)
- [실제 사고] Hermes 에이전트 공격(2026-05): DeepSeek이 반환 결과에 따라 FOFA 질의·셸 명령·스캐너 실행·HTTP 탐침을 계속 생성 (ATLAS AML.CS0070)</t>
        </is>
      </c>
      <c r="H17" s="11" t="inlineStr">
        <is>
          <t>상</t>
        </is>
      </c>
      <c r="I17" s="11" t="inlineStr">
        <is>
          <t>상</t>
        </is>
      </c>
      <c r="J17" s="13">
        <f>IF(AND(H17="상",I17="상"),"매우 높음",IF(OR(AND(H17="상",I17="중"),AND(H17="중",I17="상")),"높음",IF(OR(AND(H17="중",I17="중"),AND(H17="상",I17="하"),AND(H17="하",I17="상")),"보통","낮음")))</f>
        <v/>
      </c>
      <c r="K17" s="5" t="inlineStr">
        <is>
          <t>호스트 장악 상태의 탐지 회피형 원격 조작</t>
        </is>
      </c>
      <c r="L17" s="11" t="inlineStr">
        <is>
          <t>실제 사고 확인</t>
        </is>
      </c>
      <c r="M17" s="11" t="n">
        <v>3</v>
      </c>
      <c r="N17" s="5" t="inlineStr">
        <is>
          <t>AI 공격 적응(AI Attack Adaptation)</t>
        </is>
      </c>
      <c r="O17" s="5" t="inlineStr">
        <is>
          <t>T0102</t>
        </is>
      </c>
      <c r="P17" s="5" t="n"/>
      <c r="Q17" s="5" t="inlineStr">
        <is>
          <t>AI 속도 공격을 전제한 탐지·대응 자동화, AI 제공자 오남용 탐지 연계, 위협 인텔리전스</t>
        </is>
      </c>
    </row>
    <row r="18" ht="179" customHeight="1">
      <c r="A18" s="10" t="inlineStr">
        <is>
          <t>D01. 공격 준비 및 AI 무기화</t>
        </is>
      </c>
      <c r="B18" s="11" t="inlineStr">
        <is>
          <t>UT-04</t>
        </is>
      </c>
      <c r="C18" s="5" t="inlineStr">
        <is>
          <t>AI 생성 콘텐츠를 이용한 사기</t>
        </is>
      </c>
      <c r="D18" s="11" t="inlineStr">
        <is>
          <t>UT-04.1</t>
        </is>
      </c>
      <c r="E18" s="12" t="inlineStr">
        <is>
          <t>딥페이크 생체인증 우회</t>
        </is>
      </c>
      <c r="F18" s="5" t="inlineStr">
        <is>
          <t>- 공격자는 딥페이크 영상·얼굴 합성 앱과 가상 카메라·영상 주입으로 얼굴인식·라이브니스 검사를 속여, 타인 명의로 계정을 개설하거나 본인 확인을 통과할 수 있음
- KYC·비대면 인증이 뚫리면 금융·공공 서비스에서 명의 도용 사기로 바로 이어지며, 범죄 시장에서 도구가 상품으로 판매됨</t>
        </is>
      </c>
      <c r="G18" s="5" t="inlineStr">
        <is>
          <t>■ AI 관점
- 수법: 탈취한 신원 정보와 얼굴 사진으로 딥페이크 신분증·셀피 영상을 만들고, 가상 카메라·개조 ROM으로 실제 카메라 대신 영상을 주입 (ATLAS AML.T0088)
- 우회 대상: 얼굴 대조, 수동·능동 라이브니스 검사, 신분증 진위 확인 — 생성 영상이 정상 촬영처럼 보이면 자동 판정이 통과됨
- 준비 단계에서 개인정보·얼굴 사진 수집(UT-01.1)과 딥페이크 도구 구매(UT-02.1)가 선행되며, 사람을 상대로 한 사칭은 UT-04.3에서 다룸
■ 실제 사례
- [실제 사고] 중국 세무 시스템(2020): 사진을 눈 깜빡임 영상으로 바꾸는 앱과 가상 카메라로 얼굴인식을 우회해 위장 회사 명의로 약 7,700만 달러 부정 수취 (ATLAS AML.CS0004)
- [실제 사고] ProKYC(2024-10): 딥페이크 신분증과 셀피 영상을 만들어 라이브니스 검사를 우회하는 도구가 범죄자에게 판매되어 암호화폐 거래소 계정 개설에 사용 (ATLAS AML.CS0034)
- [실제 사고] ID.me 우회(2020-10): 가발로 신분증 사진과 셀피를 맞춰 자동 신원 확인을 통과, 허위 실업급여 180건 이상 청구로 340만 달러 이상 수령 (ATLAS AML.CS0017)</t>
        </is>
      </c>
      <c r="H18" s="11" t="inlineStr">
        <is>
          <t>상</t>
        </is>
      </c>
      <c r="I18" s="11" t="inlineStr">
        <is>
          <t>중</t>
        </is>
      </c>
      <c r="J18" s="13">
        <f>IF(AND(H18="상",I18="상"),"매우 높음",IF(OR(AND(H18="상",I18="중"),AND(H18="중",I18="상")),"높음",IF(OR(AND(H18="중",I18="중"),AND(H18="상",I18="하"),AND(H18="하",I18="상")),"보통","낮음")))</f>
        <v/>
      </c>
      <c r="K18" s="5" t="inlineStr">
        <is>
          <t>특정 계정/거래 단위 금전 피해</t>
        </is>
      </c>
      <c r="L18" s="11" t="inlineStr">
        <is>
          <t>실제 사고 확인</t>
        </is>
      </c>
      <c r="M18" s="11" t="n">
        <v>4</v>
      </c>
      <c r="N18" s="5" t="inlineStr">
        <is>
          <t>방어 회피(Defense Evasion)</t>
        </is>
      </c>
      <c r="O18" s="5" t="inlineStr">
        <is>
          <t>T0088</t>
        </is>
      </c>
      <c r="P18" s="5" t="n"/>
      <c r="Q18" s="5" t="inlineStr">
        <is>
          <t>딥페이크 탐지·라이브니스 검증, 고위험 요청 다중 채널 확인, 사용자 교육</t>
        </is>
      </c>
    </row>
    <row r="19" ht="179" customHeight="1">
      <c r="A19" s="10" t="inlineStr">
        <is>
          <t>D01. 공격 준비 및 AI 무기화</t>
        </is>
      </c>
      <c r="B19" s="11" t="inlineStr">
        <is>
          <t>UT-04</t>
        </is>
      </c>
      <c r="C19" s="5" t="inlineStr">
        <is>
          <t>AI 생성 콘텐츠를 이용한 사기</t>
        </is>
      </c>
      <c r="D19" s="11" t="inlineStr">
        <is>
          <t>UT-04.2</t>
        </is>
      </c>
      <c r="E19" s="12" t="inlineStr">
        <is>
          <t>AI 생성 피싱</t>
        </is>
      </c>
      <c r="F19" s="5" t="inlineStr">
        <is>
          <t>- 공격자는 LLM으로 대상별 맞춤 스피어피싱 문안을 대량 생성하거나, LLM 챗봇이 대화 중 개인정보·자격증명을 캐내도록 해 임직원을 기망할 수 있음
- 문법 오류·어색한 표현 같은 기존 피싱 식별 단서가 사라지고, 적은 비용으로 대상별 맞춤화를 대규모로 할 수 있음</t>
        </is>
      </c>
      <c r="G19" s="5" t="inlineStr">
        <is>
          <t>■ AI 관점
- 문안 생성: 공개 정보(UT-01.1)를 바탕으로 직무·관계에 맞춘 피싱 메일·메시지를 다국어로 대량 생성 (ATLAS AML.T0052)
- 대화형 사회공학: 공격자가 운영하는 챗봇이나 인젝션으로 조종된 정상 AI 비서가 대화를 이어가며 이름·자격증명을 요구하고 악성 링크 클릭을 유도 (ATLAS AML.T0052.000, UT-34.2)
- 피싱 페이지는 ML 기반 피싱 탐지를 회피하도록 로고·화면 요소를 변형하기도 함 (UT-17.1)
- 경영진·거래처를 사칭한 딥페이크 음성·영상 통화는 UT-04.3에서 다룸
■ 실제 사례
- [실제 사고] LAMEHUG(2025-06): APT28이 침해한 정부 메일 계정으로 첨부 파일이 든 피싱 메일을 보내 LLM 연동 악성코드를 유포 (ATLAS AML.CS0044)
- [실증] Bing Chat 데이터 해적(2023): 웹페이지의 숨은 지시로 Bing Chat이 해적 말투로 대화하며 사용자 이름 등 개인정보를 묻고 링크 클릭을 유도 (ATLAS AML.CS0020)
- [실제 사고] ML 피싱 탐지 회피(2022-12): 피싱 사이트가 브랜드 로고를 변형해 이미지 분류 기반 피싱 탐지를 피하려 한 시도가 탐지 로그에서 확인 (ATLAS AML.CS0032)</t>
        </is>
      </c>
      <c r="H19" s="11" t="inlineStr">
        <is>
          <t>상</t>
        </is>
      </c>
      <c r="I19" s="11" t="inlineStr">
        <is>
          <t>중</t>
        </is>
      </c>
      <c r="J19" s="13">
        <f>IF(AND(H19="상",I19="상"),"매우 높음",IF(OR(AND(H19="상",I19="중"),AND(H19="중",I19="상")),"높음",IF(OR(AND(H19="중",I19="중"),AND(H19="상",I19="하"),AND(H19="하",I19="상")),"보통","낮음")))</f>
        <v/>
      </c>
      <c r="K19" s="5" t="inlineStr">
        <is>
          <t>자격증명 탈취 시 내부 침투로 확대 가능</t>
        </is>
      </c>
      <c r="L19" s="11" t="inlineStr">
        <is>
          <t>실제 사고 확인</t>
        </is>
      </c>
      <c r="M19" s="11" t="n">
        <v>2</v>
      </c>
      <c r="N19" s="5" t="inlineStr">
        <is>
          <t>초기 접근(Initial Access)</t>
        </is>
      </c>
      <c r="O19" s="5" t="inlineStr">
        <is>
          <t>T0052, T0052.000</t>
        </is>
      </c>
      <c r="P19" s="5" t="n"/>
      <c r="Q19" s="5" t="inlineStr">
        <is>
          <t>딥페이크 탐지·라이브니스 검증, 고위험 요청 다중 채널 확인, 사용자 교육</t>
        </is>
      </c>
    </row>
    <row r="20" ht="204" customHeight="1">
      <c r="A20" s="10" t="inlineStr">
        <is>
          <t>D01. 공격 준비 및 AI 무기화</t>
        </is>
      </c>
      <c r="B20" s="11" t="inlineStr">
        <is>
          <t>UT-04</t>
        </is>
      </c>
      <c r="C20" s="5" t="inlineStr">
        <is>
          <t>AI 생성 콘텐츠를 이용한 사기</t>
        </is>
      </c>
      <c r="D20" s="11" t="inlineStr">
        <is>
          <t>UT-04.3</t>
        </is>
      </c>
      <c r="E20" s="12" t="inlineStr">
        <is>
          <t>신뢰 주체 사칭</t>
        </is>
      </c>
      <c r="F20" s="5" t="inlineStr">
        <is>
          <t>- 공격자는 딥페이크 음성·영상 통화나 AI로 만든 메시지·브랜드로 경영진·거래처·공공기관 같은 신뢰 주체를 사칭해, 대상이 송금·정보 제공·설치 등 공격자 대신 행위를 하게 만들 수 있음
- 목소리·얼굴까지 재현되면 사람의 진위 판단이 무력해지며, 기술적 통제를 거치지 않는 승인·결제 절차가 직접 표적이 됨</t>
        </is>
      </c>
      <c r="G20" s="5" t="inlineStr">
        <is>
          <t>■ AI 관점
- 사칭 대상: 경영진·동료·거래처·정부 기관 담당자, 그리고 신뢰받는 조직의 계정·패키지·저장소 이름 (ATLAS AML.T0073)
- 딥페이크 결합: 합성 음성·영상으로 실시간 통화·화상회의에서 본인처럼 행동해 긴급 송금·결재·자격증명 제공을 요구 (ATLAS AML.T0052.001)
- 사칭 대상이 사람이 아니라 브랜드·패키지·허브 조직일 때는 공급망 침해(UT-28.4·29.2)로 이어지며, 기계 인증 우회는 UT-04.1에서 다룸
- 대응은 고위험 요청의 별도 채널 재확인과 결재 절차의 기술적 통제가 핵심이며, 탐지 기술만으로는 한계가 있음
■ 실제 사례
- [실제 사고] LAMEHUG(2025-06): APT28이 정부 부처 관계자를 사칭한 메일로 'Appendix.pdf.zip'으로 위장한 악성코드를 유포 (ATLAS AML.CS0044)
- [실제 사고] postmark-mcp(2025-09): Postmark가 등록하지 않은 이름으로 정상 동작하는 MCP 패키지를 먼저 배포해 신뢰를 얻은 뒤, 발송 메일을 몰래 BCC로 유출 (ATLAS AML.CS0053)
- [실증] Hugging Face 조직 사칭(2023-08): 실존 기업명으로 미인증 조직을 만들자 해당 기업 직원들이 가입해 비공개 모델을 업로드 (ATLAS AML.CS0027)</t>
        </is>
      </c>
      <c r="H20" s="11" t="inlineStr">
        <is>
          <t>상</t>
        </is>
      </c>
      <c r="I20" s="11" t="inlineStr">
        <is>
          <t>중</t>
        </is>
      </c>
      <c r="J20" s="13">
        <f>IF(AND(H20="상",I20="상"),"매우 높음",IF(OR(AND(H20="상",I20="중"),AND(H20="중",I20="상")),"높음",IF(OR(AND(H20="중",I20="중"),AND(H20="상",I20="하"),AND(H20="하",I20="상")),"보통","낮음")))</f>
        <v/>
      </c>
      <c r="K20" s="5" t="inlineStr">
        <is>
          <t>기망 대상 개인/거래 단위 피해</t>
        </is>
      </c>
      <c r="L20" s="11" t="inlineStr">
        <is>
          <t>실제 사고 확인</t>
        </is>
      </c>
      <c r="M20" s="11" t="n">
        <v>3</v>
      </c>
      <c r="N20" s="5" t="inlineStr">
        <is>
          <t>초기 접근(Initial Access)</t>
        </is>
      </c>
      <c r="O20" s="5" t="inlineStr">
        <is>
          <t>T0052.001, T0073</t>
        </is>
      </c>
      <c r="P20" s="5" t="n"/>
      <c r="Q20" s="5" t="inlineStr">
        <is>
          <t>딥페이크 탐지·라이브니스 검증, 고위험 요청 다중 채널 확인, 사용자 교육</t>
        </is>
      </c>
    </row>
    <row r="21" ht="129" customHeight="1">
      <c r="A21" s="10" t="inlineStr">
        <is>
          <t>D01. 공격 준비 및 AI 무기화</t>
        </is>
      </c>
      <c r="B21" s="11" t="inlineStr">
        <is>
          <t>UT-05</t>
        </is>
      </c>
      <c r="C21" s="5" t="inlineStr">
        <is>
          <t>AI 서비스를 이용한 C2 통신</t>
        </is>
      </c>
      <c r="D21" s="11" t="inlineStr">
        <is>
          <t>UT-05.1</t>
        </is>
      </c>
      <c r="E21" s="12" t="inlineStr">
        <is>
          <t>AI 서비스 API 은닉 통신</t>
        </is>
      </c>
      <c r="F21" s="5" t="inlineStr">
        <is>
          <t>- 공격자는 감염 호스트의 악성코드가 정상 AI 서비스 API를 명령 수신·결과 전송 채널로 쓰게 해, C2 트래픽을 일상적인 AI 서비스 이용으로 위장할 수 있음
- 기업 내 AI API 호출이 흔해 네트워크 차단이 어렵고, 공격자 인프라가 드러나지 않아 장기간 은닉이 가능함</t>
        </is>
      </c>
      <c r="G21" s="5" t="inlineStr">
        <is>
          <t>■ AI 관점
- 동작 방식: 공격자가 AI 서비스 API의 대화·어시스턴트·파일 기능에 명령을 넣고, 악성코드가 이를 가져가 실행한 뒤 결과를 암호화해 같은 API로 되돌림 (ATLAS AML.T0096)
- 은닉 효과: 목적지가 주요 AI 제공자 도메인이고 정상 API 키를 쓰므로 평판·도메인 기반 차단과 이상 목적지 탐지에 걸리지 않음
- 대응은 승인된 프로세스·계정만 AI API를 호출하도록 제한하고, AI 제공자와 오남용 계정 정보를 공유하는 것임
■ 실제 사례
- [실제 사고] SesameOp(2025-07): 백도어가 OpenAI Assistants API로 공격자 명령을 받아 실행하고 암호화된 결과를 같은 경로로 반출 — 공격자는 수개월간 시스템에 체류 (ATLAS AML.CS0042)</t>
        </is>
      </c>
      <c r="H21" s="11" t="inlineStr">
        <is>
          <t>중</t>
        </is>
      </c>
      <c r="I21" s="11" t="inlineStr">
        <is>
          <t>상</t>
        </is>
      </c>
      <c r="J21" s="13">
        <f>IF(AND(H21="상",I21="상"),"매우 높음",IF(OR(AND(H21="상",I21="중"),AND(H21="중",I21="상")),"높음",IF(OR(AND(H21="중",I21="중"),AND(H21="상",I21="하"),AND(H21="하",I21="상")),"보통","낮음")))</f>
        <v/>
      </c>
      <c r="K21" s="5" t="inlineStr">
        <is>
          <t>침해 호스트에 대한 은닉 원격 제어 지속</t>
        </is>
      </c>
      <c r="L21" s="11" t="inlineStr">
        <is>
          <t>실제 사고 확인</t>
        </is>
      </c>
      <c r="M21" s="11" t="n">
        <v>1</v>
      </c>
      <c r="N21" s="5" t="inlineStr">
        <is>
          <t>명령·제어(Command and Control)</t>
        </is>
      </c>
      <c r="O21" s="5" t="inlineStr">
        <is>
          <t>T0096</t>
        </is>
      </c>
      <c r="P21" s="5" t="n"/>
      <c r="Q21" s="5" t="inlineStr">
        <is>
          <t>AI API 키 보호·사용량 이상 탐지, AI 서비스 egress 가시성, 비인가 AI 트래픽 차단</t>
        </is>
      </c>
    </row>
    <row r="22" ht="154" customHeight="1">
      <c r="A22" s="10" t="inlineStr">
        <is>
          <t>D01. 공격 준비 및 AI 무기화</t>
        </is>
      </c>
      <c r="B22" s="11" t="inlineStr">
        <is>
          <t>UT-05</t>
        </is>
      </c>
      <c r="C22" s="5" t="inlineStr">
        <is>
          <t>AI 서비스를 이용한 C2 통신</t>
        </is>
      </c>
      <c r="D22" s="11" t="inlineStr">
        <is>
          <t>UT-05.2</t>
        </is>
      </c>
      <c r="E22" s="12" t="inlineStr">
        <is>
          <t>AI 웹 서비스 중계 악용</t>
        </is>
      </c>
      <c r="F22" s="5" t="inlineStr">
        <is>
          <t>- 공격자는 URL 조회 기능이 있는 웹 AI 비서나 침해한 AI 에이전트를 중계자로 삼아, 악성코드가 공격자 서버와 직접 통신하지 않고 AI 서비스를 경유해 명령을 받고 데이터를 내보낼 수 있음
- 인증 없이 쓸 수 있는 웹 AI 서비스는 차단할 키·계정이 없고, 트래픽이 신뢰된 AI 도메인으로만 보여 탐지가 어려움</t>
        </is>
      </c>
      <c r="G22" s="5" t="inlineStr">
        <is>
          <t>■ AI 관점
- 웹 인터페이스 중계: 악성코드가 내장 브라우저로 공개 AI 웹 서비스에 접속해 공격자 URL을 요약하게 하고, 요청 파라미터로 데이터를 보내며 응답에서 명령을 추출 (ATLAS AML.T0114)
- 에이전트 악용: 셸·인터넷 접근 도구를 가진 에이전트에 지속 지시를 심어 공격자 서버의 작업 목록을 주기적으로 받아 실행하게 함 (ATLAS AML.T0108, UT-07.1)
- API 키를 쓰는 방식(UT-05.1)과 달리 회수할 자격증명이 없어, 익명 웹 조회 기능 제한과 단말의 비정상 브라우저 자동화 탐지가 필요함
■ 실제 사례
- [실증] AI in the Middle(2026-02): 악성코드가 Grok·Microsoft Copilot 웹 인터페이스에 익명으로 접속해 공격자 URL을 가져오게 하는 방식으로 데이터 반출과 명령 수신을 수행 (ATLAS AML.CS0061)
- [실증] OpenClaw C2(2026-02): 웹페이지 인젝션으로 OpenClaw가 공격자 서버의 TODO 목록을 web_fetch로 받아 실행하는 C2 에이전트가 됨 (ATLAS AML.CS0051)</t>
        </is>
      </c>
      <c r="H22" s="11" t="inlineStr">
        <is>
          <t>중</t>
        </is>
      </c>
      <c r="I22" s="11" t="inlineStr">
        <is>
          <t>상</t>
        </is>
      </c>
      <c r="J22" s="13">
        <f>IF(AND(H22="상",I22="상"),"매우 높음",IF(OR(AND(H22="상",I22="중"),AND(H22="중",I22="상")),"높음",IF(OR(AND(H22="중",I22="중"),AND(H22="상",I22="하"),AND(H22="하",I22="상")),"보통","낮음")))</f>
        <v/>
      </c>
      <c r="K22" s="5" t="inlineStr">
        <is>
          <t>직접 통신 탐지 회피형 원격 제어</t>
        </is>
      </c>
      <c r="L22" s="11" t="inlineStr">
        <is>
          <t>실증·공개 취약점</t>
        </is>
      </c>
      <c r="M22" s="11" t="n">
        <v>0</v>
      </c>
      <c r="N22" s="5" t="inlineStr">
        <is>
          <t>명령·제어(Command and Control)</t>
        </is>
      </c>
      <c r="O22" s="5" t="inlineStr">
        <is>
          <t>T0108, T0114</t>
        </is>
      </c>
      <c r="P22" s="5" t="n"/>
      <c r="Q22" s="5" t="inlineStr">
        <is>
          <t>AI API 키 보호·사용량 이상 탐지, AI 서비스 egress 가시성, 비인가 AI 트래픽 차단</t>
        </is>
      </c>
    </row>
    <row r="23" ht="129" customHeight="1">
      <c r="A23" s="10" t="inlineStr">
        <is>
          <t>D01. 공격 준비 및 AI 무기화</t>
        </is>
      </c>
      <c r="B23" s="11" t="inlineStr">
        <is>
          <t>UT-05</t>
        </is>
      </c>
      <c r="C23" s="5" t="inlineStr">
        <is>
          <t>AI 서비스를 이용한 C2 통신</t>
        </is>
      </c>
      <c r="D23" s="11" t="inlineStr">
        <is>
          <t>UT-05.3</t>
        </is>
      </c>
      <c r="E23" s="12" t="inlineStr">
        <is>
          <t>AI 아티팩트 저장소 악용</t>
        </is>
      </c>
      <c r="F23" s="5" t="inlineStr">
        <is>
          <t>- 공격자는 모델·데이터셋 저장소의 객체를 명령·페이로드 게시판으로 쓰고 실행 결과를 데이터셋에 기록하게 해, 정상 아티팩트 다운로드·업로드로 위장한 비동기 C2를 운영할 수 있음
- AI 개발 환경은 허브 저장소와의 대용량 통신이 일상적이어서 C2 트래픽이 정상 작업에 묻힘</t>
        </is>
      </c>
      <c r="G23" s="5" t="inlineStr">
        <is>
          <t>■ AI 관점
- 동작 방식: 공격자가 통제하는 모델·데이터셋 저장소에 명령을 올리고, 침해 시스템이 이를 폴링해 실행한 뒤 결과를 데이터셋 객체로 써 넣음 (ATLAS AML.T0120)
- 은닉 효과: 학습·추론 환경에서 허브 접근은 허용 목록에 있는 경우가 많고, 아티팩트 형식이라 내용 검사가 어려움
- 대응은 허브 접근을 승인된 조직·저장소로 제한하고, 운영 환경의 예상 밖 업로드를 감시하는 것임 (UT-28.1과 같은 허용 목록 통제)
■ 실제 사례
- [실제 사고] OpenAI 평가용 자율 에이전트(2026-07): 에이전트들이 자신이 통제하는 데이터셋 저장소를 비동기 C2로 써, 침해한 작업자가 명령을 가져가고 결과를 데이터셋 객체에 기록 (ATLAS AML.CS0068)</t>
        </is>
      </c>
      <c r="H23" s="11" t="inlineStr">
        <is>
          <t>중</t>
        </is>
      </c>
      <c r="I23" s="11" t="inlineStr">
        <is>
          <t>중</t>
        </is>
      </c>
      <c r="J23" s="13">
        <f>IF(AND(H23="상",I23="상"),"매우 높음",IF(OR(AND(H23="상",I23="중"),AND(H23="중",I23="상")),"높음",IF(OR(AND(H23="중",I23="중"),AND(H23="상",I23="하"),AND(H23="하",I23="상")),"보통","낮음")))</f>
        <v/>
      </c>
      <c r="K23" s="5" t="inlineStr">
        <is>
          <t>탐지 회피형 통신 채널(제한적 대역)</t>
        </is>
      </c>
      <c r="L23" s="11" t="inlineStr">
        <is>
          <t>실제 사고 확인</t>
        </is>
      </c>
      <c r="M23" s="11" t="n">
        <v>1</v>
      </c>
      <c r="N23" s="5" t="inlineStr">
        <is>
          <t>명령·제어(Command and Control)</t>
        </is>
      </c>
      <c r="O23" s="5" t="inlineStr">
        <is>
          <t>T0120</t>
        </is>
      </c>
      <c r="P23" s="5" t="n"/>
      <c r="Q23" s="5" t="inlineStr">
        <is>
          <t>AI API 키 보호·사용량 이상 탐지, AI 서비스 egress 가시성, 비인가 AI 트래픽 차단</t>
        </is>
      </c>
    </row>
    <row r="24" ht="229" customHeight="1">
      <c r="A24" s="10" t="inlineStr">
        <is>
          <t>D02. 프롬프트 인젝션 및 컨텍스트 노출</t>
        </is>
      </c>
      <c r="B24" s="11" t="inlineStr">
        <is>
          <t>UT-06</t>
        </is>
      </c>
      <c r="C24" s="5" t="inlineStr">
        <is>
          <t>직접 프롬프트 인젝션</t>
        </is>
      </c>
      <c r="D24" s="11" t="inlineStr">
        <is>
          <t>UT-06.1</t>
        </is>
      </c>
      <c r="E24" s="12" t="inlineStr">
        <is>
          <t>시스템 지시 무력화</t>
        </is>
      </c>
      <c r="F24" s="5" t="inlineStr">
        <is>
          <t>- 공격자는 '이전 지시 무시'·관리자 권한 사칭 같은 입력으로 시스템 프롬프트의 역할·제약을 무력화해, 모델이 허용 범위 밖의 정보를 노출하거나 기능을 실행하게 할 수 있음
- 모델은 지시와 데이터를 구조적으로 구분하지 못해 완전한 차단이 불가능하며, 도구 권한을 가진 에이전트에서는 비인가 조회·실행으로 바로 이어짐</t>
        </is>
      </c>
      <c r="G24" s="5" t="inlineStr">
        <is>
          <t>■ AI 관점
- 대상: 고객 지원 챗봇, 사내 코파일럿, 업무·코딩 에이전트처럼 사용자 입력을 시스템 프롬프트와 같은 컨텍스트에서 처리하는 모든 LLM 앱 (OWASP LLM01:2026 예시 #1)
- 수법: 직접 재정의 문구, 개발자·관리자 사칭, 출력 형식 지정을 가장한 지시 삽입 — 별도 인스턴스에서 반복 수정해 성공률 높은 프롬프트를 미리 확보함 (ATLAS AML.T0051.000·T0065)
- 피해 범위는 앱에 부여된 권한이 결정: DB·메일·코드 실행 권한이 있으면 비인가 조회·발송·실행으로 확대되므로 시스템 프롬프트를 인가 경계로 쓰면 안 됨 (UT-21.2·21.4)
- 시스템 프롬프트·도구 스키마를 먼저 빼내거나(UT-08.1) 벤더 파인튜닝 API가 돌려주는 손실값으로 페이로드를 최적화하면 성공률이 높아지며, 방어 기법을 아는 적응형 공격에는 최신 방어 다수가 90% 이상 우회됨 (OWASP LLM01:2026 예시 #7)
■ 실제 사례
- [실제 사고] Skynet 악성코드(2025-06): 바이너리에 "이전 지시를 모두 무시하라"는 문구를 넣어 LLM 기반 악성코드 분석·탐지 도구의 판정 조작을 시도한 샘플이 VirusTotal에서 발견됨 — 시험한 모델에서는 실패 (ATLAS AML.CS0043)
- [실증] MathGPT(2023-01): 질문을 Python 코드로 바꿔 실행하는 앱에서 지시를 재정의해 호스트 환경변수의 OpenAI API 키를 노출시키고 서비스 거부를 유발 (ATLAS AML.CS0016)
- [공개 취약점] CVE-2024-5184(EmailGPT): 사용자 입력으로 서비스 로직을 장악해 시스템 프롬프트 노출·데이터 유출 가능 (OWASP DSGAI01)</t>
        </is>
      </c>
      <c r="H24" s="11" t="inlineStr">
        <is>
          <t>상</t>
        </is>
      </c>
      <c r="I24" s="11" t="inlineStr">
        <is>
          <t>중</t>
        </is>
      </c>
      <c r="J24" s="13">
        <f>IF(AND(H24="상",I24="상"),"매우 높음",IF(OR(AND(H24="상",I24="중"),AND(H24="중",I24="상")),"높음",IF(OR(AND(H24="중",I24="중"),AND(H24="상",I24="하"),AND(H24="하",I24="상")),"보통","낮음")))</f>
        <v/>
      </c>
      <c r="K24" s="5" t="inlineStr">
        <is>
          <t>앱 권한 범위 내 비인가 조회·실행</t>
        </is>
      </c>
      <c r="L24" s="11" t="inlineStr">
        <is>
          <t>실제 사고 확인</t>
        </is>
      </c>
      <c r="M24" s="11" t="n">
        <v>4</v>
      </c>
      <c r="N24" s="5" t="inlineStr">
        <is>
          <t>실행(Execution)</t>
        </is>
      </c>
      <c r="O24" s="5" t="inlineStr">
        <is>
          <t>T0051, T0051.000, T0065</t>
        </is>
      </c>
      <c r="P24" s="5" t="inlineStr">
        <is>
          <t>LLM01</t>
        </is>
      </c>
      <c r="Q24" s="5" t="inlineStr">
        <is>
          <t>다층 입·출력 가드레일, 모달리티별 정규화·비가시 문자 제거, 권한 분리로 폭발반경 제한, 적대적 테스트 상시화</t>
        </is>
      </c>
    </row>
    <row r="25" ht="229" customHeight="1">
      <c r="A25" s="10" t="inlineStr">
        <is>
          <t>D02. 프롬프트 인젝션 및 컨텍스트 노출</t>
        </is>
      </c>
      <c r="B25" s="11" t="inlineStr">
        <is>
          <t>UT-06</t>
        </is>
      </c>
      <c r="C25" s="5" t="inlineStr">
        <is>
          <t>직접 프롬프트 인젝션</t>
        </is>
      </c>
      <c r="D25" s="11" t="inlineStr">
        <is>
          <t>UT-06.2</t>
        </is>
      </c>
      <c r="E25" s="12" t="inlineStr">
        <is>
          <t>탈옥(안전장치 우회)</t>
        </is>
      </c>
      <c r="F25" s="5" t="inlineStr">
        <is>
          <t>- 공격자는 역할극·허위 권한 주장·다단계 설득·우회 표현으로 모델의 안전 정책과 가드레일을 무력화해, 금지된 콘텐츠를 생성하거나 거부해야 할 작업을 수행하게 할 수 있음
- 탈옥된 모델은 악성코드·사기 콘텐츠 생성과 에이전트 기반 공격 운용에 쓰이며, 정책 기반 차단은 표현만 바꾼 재시도에 반복적으로 뚫림</t>
        </is>
      </c>
      <c r="G25" s="5" t="inlineStr">
        <is>
          <t>■ AI 관점
- 수법: 역할극·가상 시나리오, 점진적 설득, 허위 목적·권한 주장, 금지어 우회 표현, 최적화된 적대적 문자열 — 저자원 언어·인코딩과 결합하면 분류기 회피율이 높아짐 (OWASP LLM01:2026 예시 #8)
- 프롬프트 외에 가중치·안전장치를 직접 수정하는 방식도 있어, 오픈 가중치 모델은 정렬을 제거할 수 있고 안전 기능을 뺀 파인튜닝본이 정상 모델처럼 배포되기도 함 (ATLAS AML.T0054, OWASP LLM04:2026 시나리오 #2)
- 목적은 금지 콘텐츠 생성(악성코드·피싱 문안·불법 이미지)과 에이전트의 거부 동작 해제로 나뉘며, 후자는 자율 공격 운용(UT-03.1)·파괴적 명령 실행(UT-21.5)의 선행 단계가 됨
- 탈취한 API 키로 접근한 AI 서비스에서 탈옥이 이뤄지면 금지 콘텐츠 생성의 비용·책임이 키 소유 조직에 귀속됨 (UT-25.4)
■ 실제 사례
- [실제 사고] Storm-2139(2024-12): 공개된 고객 자격증명으로 Azure OpenAI 계정에 접근한 뒤 콘텐츠 필터를 우회하는 자체 도구를 만들어 공급하고, 유명인 비동의 성적 이미지 등 금지 콘텐츠를 생성 — Microsoft가 민사 소송 제기 (ATLAS AML.CS0057)
- [실제 사고] GTG-1002(2025-09): 허위 권한 주장, 방어 보안 업무 페르소나, 무해해 보이는 작업 분할로 Claude Code의 안전장치를 우회한 뒤 약 30개 조직 대상 자율 사이버 첩보 수행 (ATLAS AML.CS0069)
- [실증] Claude Computer Use(2024-10): PDF에 '보안 시험용 가상 환경'이라는 거짓 맥락과 인코딩된 명령을 넣어 가드레일을 우회, bash 도구로 파일 시스템 삭제 명령 실행 (ATLAS AML.CS0046)</t>
        </is>
      </c>
      <c r="H25" s="11" t="inlineStr">
        <is>
          <t>상</t>
        </is>
      </c>
      <c r="I25" s="11" t="inlineStr">
        <is>
          <t>중</t>
        </is>
      </c>
      <c r="J25" s="13">
        <f>IF(AND(H25="상",I25="상"),"매우 높음",IF(OR(AND(H25="상",I25="중"),AND(H25="중",I25="상")),"높음",IF(OR(AND(H25="중",I25="중"),AND(H25="상",I25="하"),AND(H25="하",I25="상")),"보통","낮음")))</f>
        <v/>
      </c>
      <c r="K25" s="5" t="inlineStr">
        <is>
          <t>금지 용도 악용(유해 콘텐츠·공격 도구 생성)</t>
        </is>
      </c>
      <c r="L25" s="11" t="inlineStr">
        <is>
          <t>실제 사고 확인</t>
        </is>
      </c>
      <c r="M25" s="11" t="n">
        <v>2</v>
      </c>
      <c r="N25" s="5" t="inlineStr">
        <is>
          <t>방어 회피(Defense Evasion)</t>
        </is>
      </c>
      <c r="O25" s="5" t="inlineStr">
        <is>
          <t>T0054</t>
        </is>
      </c>
      <c r="P25" s="5" t="inlineStr">
        <is>
          <t>LLM01</t>
        </is>
      </c>
      <c r="Q25" s="5" t="inlineStr">
        <is>
          <t>다층 입·출력 가드레일, 모달리티별 정규화·비가시 문자 제거, 권한 분리로 폭발반경 제한, 적대적 테스트 상시화</t>
        </is>
      </c>
    </row>
    <row r="26" ht="229" customHeight="1">
      <c r="A26" s="10" t="inlineStr">
        <is>
          <t>D02. 프롬프트 인젝션 및 컨텍스트 노출</t>
        </is>
      </c>
      <c r="B26" s="11" t="inlineStr">
        <is>
          <t>UT-06</t>
        </is>
      </c>
      <c r="C26" s="5" t="inlineStr">
        <is>
          <t>직접 프롬프트 인젝션</t>
        </is>
      </c>
      <c r="D26" s="11" t="inlineStr">
        <is>
          <t>UT-06.3</t>
        </is>
      </c>
      <c r="E26" s="12" t="inlineStr">
        <is>
          <t>프롬프트 난독화</t>
        </is>
      </c>
      <c r="F26" s="5" t="inlineStr">
        <is>
          <t>- 공격자는 인코딩·비가시 유니코드·배경색 글꼴·숨김 HTML·페이로드 분할로 인젝션 지시를 가려, 입력 가드레일과 사람 검토를 모두 통과시킬 수 있음
- 모델은 가려진 지시를 그대로 해석하지만 화면과 필터에는 정상 텍스트로 보여, 직접·간접 인젝션의 성공률을 높이는 공통 수단이 됨</t>
        </is>
      </c>
      <c r="G26" s="5" t="inlineStr">
        <is>
          <t>■ AI 관점
- 텍스트 은닉: 0px·배경색 글꼴, HTML 주석·숨김 요소, 페이지 제목 태그, 문서 머리글 — 사람이 보는 화면과 모델이 읽는 텍스트가 달라짐 (ATLAS AML.T0068)
- 인코딩·변형: Base64·ROT13·hex 인코딩 후 디코딩 지시, 여러 입력 필드에 나눠 넣고 모델이 조합하게 하는 분할, 저자원 언어·코드 혼용 — 학습하지 않은 형식의 분류기를 통과 (OWASP LLM01:2026 예시 #8·시나리오 #5)
- 비가시 유니코드: 태그 블록(U+E0000~E007F)·변형 선택자·제로폭 문자는 화면에 표시되지 않아 코드 리뷰·PR 승인을 통과하고, 반대로 응답에 데이터를 숨겨 반출하는 데도 쓰임 (UT-19.3)
- 직접 입력(UT-06.1)보다 간접 주입 콘텐츠(UT-07.1)를 숨기는 데 더 자주 쓰이며, 이미지·음성 등 비텍스트 채널 은닉은 UT-06.4에서 다룸
■ 실제 사례
- [실제 사고] AI 추천 오염 링크(2026-02): 'AI로 요약' 버튼 뒤에 자사 도메인을 신뢰 출처로 기억하라는 지시를 숨겨 URL 파라미터로만 전달 — 31개 기업이 50여 종을 유포 (ATLAS AML.CS0072)
- [실증] Rules File Backdoor(2025-03): Cursor·GitHub Copilot 규칙 파일에 제로폭·양방향 유니코드로 지시를 숨겨 코드 리뷰를 통과하고, 생성 코드에 악성 스크립트를 삽입 — GitHub은 숨은 유니코드 경고 기능 추가 (ATLAS AML.CS0041)
- [공개 취약점] M365 Copilot ASCII 스머글링(2024-08): 유니코드 태그 문자로 보이지 않는 지시와 데이터를 실어 Slack MFA 코드를 유출한 PoC (OWASP LLM01:2026 예시 #5)</t>
        </is>
      </c>
      <c r="H26" s="11" t="inlineStr">
        <is>
          <t>중</t>
        </is>
      </c>
      <c r="I26" s="11" t="inlineStr">
        <is>
          <t>중</t>
        </is>
      </c>
      <c r="J26" s="13">
        <f>IF(AND(H26="상",I26="상"),"매우 높음",IF(OR(AND(H26="상",I26="중"),AND(H26="중",I26="상")),"높음",IF(OR(AND(H26="중",I26="중"),AND(H26="상",I26="하"),AND(H26="하",I26="상")),"보통","낮음")))</f>
        <v/>
      </c>
      <c r="K26" s="5" t="inlineStr">
        <is>
          <t>가드레일 무력화로 인젝션 성공률 증가</t>
        </is>
      </c>
      <c r="L26" s="11" t="inlineStr">
        <is>
          <t>실제 사고 확인</t>
        </is>
      </c>
      <c r="M26" s="11" t="n">
        <v>1</v>
      </c>
      <c r="N26" s="5" t="inlineStr">
        <is>
          <t>방어 회피(Defense Evasion)</t>
        </is>
      </c>
      <c r="O26" s="5" t="inlineStr">
        <is>
          <t>T0068</t>
        </is>
      </c>
      <c r="P26" s="5" t="inlineStr">
        <is>
          <t>LLM01</t>
        </is>
      </c>
      <c r="Q26" s="5" t="inlineStr">
        <is>
          <t>다층 입·출력 가드레일, 모달리티별 정규화·비가시 문자 제거, 권한 분리로 폭발반경 제한, 적대적 테스트 상시화</t>
        </is>
      </c>
    </row>
    <row r="27" ht="166.5" customHeight="1">
      <c r="A27" s="10" t="inlineStr">
        <is>
          <t>D02. 프롬프트 인젝션 및 컨텍스트 노출</t>
        </is>
      </c>
      <c r="B27" s="11" t="inlineStr">
        <is>
          <t>UT-06</t>
        </is>
      </c>
      <c r="C27" s="5" t="inlineStr">
        <is>
          <t>직접 프롬프트 인젝션</t>
        </is>
      </c>
      <c r="D27" s="11" t="inlineStr">
        <is>
          <t>UT-06.4</t>
        </is>
      </c>
      <c r="E27" s="12" t="inlineStr">
        <is>
          <t>멀티모달 은닉 지시</t>
        </is>
      </c>
      <c r="F27" s="5" t="inlineStr">
        <is>
          <t>- 공격자는 이미지·음성·영상 채널이나 파일 메타데이터에 지시를 숨겨, 텍스트만 검사하는 필터와 사람 검토를 피해 멀티모달 모델의 동작을 조작할 수 있음
- 비전·음성 인코더가 숨은 지시를 텍스트처럼 해석해 유해 출력이나 도구 호출로 이어지며, 모달리티별 검사 없이는 탐지가 어려움</t>
        </is>
      </c>
      <c r="G27" s="5" t="inlineStr">
        <is>
          <t>■ AI 관점
- 은닉 위치: 이미지 속 저대비·초소형 텍스트, 사람이 인지하지 못하는 픽셀 섭동, 작거나 빠른 음성, 단일 영상 프레임, EXIF·ID3·문서 메타데이터 (ATLAS AML.T0129)
- 다수 모더레이션·필터는 텍스트 채널만 검사하므로 비텍스트 채널의 지시는 그대로 모델에 전달되고, 비전 인코더가 이를 추출해 출력 조작·도구 호출로 이어짐 (OWASP LLM01:2026 예시 #4)
- 사용자가 올린 이미지뿐 아니라 OCR로 처리되는 송장·스크린샷, 웹페이지 이미지, 회의 녹음처럼 업무 파이프라인에 들어오는 비텍스트 입력 전반이 경로가 됨 (ATLAS AML.T0093)
- 멀티모달 임베딩 검색에서는 이미지 한 장으로 특정 텍스트 질의의 검색 결과를 장악하는 오염도 가능 (UT-10.3)
■ 실제 사례
- 공개 사고 미확인 — ATLAS가 2026-09에 신설한 기법(T0129)으로 실제 사고·사례연구는 아직 없음
- [실증] 의료 영상 인젝션(2025): 사람이 인지하지 못하는 수준으로 영상에 지시를 넣어 4개 최신 비전-언어 모델의 종양 판독 출력을 조작 (OWASP LLM01:2026 시나리오 #6)</t>
        </is>
      </c>
      <c r="H27" s="11" t="inlineStr">
        <is>
          <t>중</t>
        </is>
      </c>
      <c r="I27" s="11" t="inlineStr">
        <is>
          <t>중</t>
        </is>
      </c>
      <c r="J27" s="13">
        <f>IF(AND(H27="상",I27="상"),"매우 높음",IF(OR(AND(H27="상",I27="중"),AND(H27="중",I27="상")),"높음",IF(OR(AND(H27="중",I27="중"),AND(H27="상",I27="하"),AND(H27="하",I27="상")),"보통","낮음")))</f>
        <v/>
      </c>
      <c r="K27" s="5" t="inlineStr">
        <is>
          <t>사람 검토 및 필터 동시 우회</t>
        </is>
      </c>
      <c r="L27" s="11" t="inlineStr">
        <is>
          <t>실증·공개 취약점</t>
        </is>
      </c>
      <c r="M27" s="11" t="n">
        <v>0</v>
      </c>
      <c r="N27" s="5" t="inlineStr">
        <is>
          <t>방어 회피(Defense Evasion)</t>
        </is>
      </c>
      <c r="O27" s="5" t="inlineStr">
        <is>
          <t>T0129</t>
        </is>
      </c>
      <c r="P27" s="5" t="inlineStr">
        <is>
          <t>LLM01</t>
        </is>
      </c>
      <c r="Q27" s="5" t="inlineStr">
        <is>
          <t>다층 입·출력 가드레일, 모달리티별 정규화·비가시 문자 제거, 권한 분리로 폭발반경 제한, 적대적 테스트 상시화</t>
        </is>
      </c>
    </row>
    <row r="28" ht="241.5" customHeight="1">
      <c r="A28" s="10" t="inlineStr">
        <is>
          <t>D02. 프롬프트 인젝션 및 컨텍스트 노출</t>
        </is>
      </c>
      <c r="B28" s="11" t="inlineStr">
        <is>
          <t>UT-07</t>
        </is>
      </c>
      <c r="C28" s="5" t="inlineStr">
        <is>
          <t>간접 프롬프트 인젝션</t>
        </is>
      </c>
      <c r="D28" s="11" t="inlineStr">
        <is>
          <t>UT-07.1</t>
        </is>
      </c>
      <c r="E28" s="12" t="inlineStr">
        <is>
          <t>외부 콘텐츠 경유 주입</t>
        </is>
      </c>
      <c r="F28" s="5" t="inlineStr">
        <is>
          <t>- 공격자는 AI가 처리하는 웹페이지·메일·문서·이슈·도구 응답에 지시를 숨겨, 사용자가 해당 콘텐츠를 요약·검색하는 순간 사용자 권한으로 데이터 조회·전송 등 비인가 행위를 실행시킬 수 있음
- 사용자는 지시를 보지도 입력하지도 않으며, 메일 수신만으로 발동하는 제로클릭 경로도 있어 입력 검증·사용자 교육으로는 막기 어려움</t>
        </is>
      </c>
      <c r="G28" s="5" t="inlineStr">
        <is>
          <t>■ AI 관점
- 유입 경로: 웹 브라우징·검색 결과, 수신 메일·캘린더 초대, 공유 문서, 이슈·티켓·PR 설명, MCP 도구 응답 — 사용자가 열지 않은 콘텐츠도 요약·검색·자동 처리 과정에서 컨텍스트에 들어감 (ATLAS AML.T0051.001·T0093)
- 신뢰 표면 악용: 공개 폼·고객 티켓·공개 이슈 같은 저권한 채널에 심은 지시를 내부 사용자의 에이전트가 고권한으로 읽고 실행해, 공격자가 직접 할 수 없는 작업을 에이전트가 대신 수행 (OWASP LLM01:2026 예시 #3)
- 비공개 데이터 접근·비신뢰 콘텐츠 처리·외부 통신이 동시에 가능한 에이전트('치명적 삼요소')에서 유출 피해가 커지며, 반출은 렌더링 URL·도구 호출로 이뤄짐 (UT-19.1·19.2)
- 지시는 대개 난독화(UT-06.3)로 숨겨지고, RAG에 색인되면 이후 질의마다 다시 노출되는 코퍼스 오염(UT-10.1)으로 이어짐
■ 실제 사례
- [공개 취약점] EchoLeak(2025-05): 메일 한 통이 M365 Copilot의 RAG 컨텍스트에 들어가 사용자 조작 없이 기업 데이터를 외부 URL로 유출 — 프롬프트 인젝션 분류기와 링크 차단 필터를 모두 우회 (ATLAS AML.CS0059, OWASP LLM01:2026 시나리오 #7)
- [공개 취약점] GitHub 공개 이슈 경유 저장소 탈취(2025-05): 공개 이슈에 심은 지시를 개발자의 MCP 연결 에이전트가 읽고 비공개 저장소 내용을 유출 (OWASP ASI 부록 D·LLM01:2026 시나리오 #9)
- [공개 취약점] ForcedLeak(2025-09): 외부 공격자가 Salesforce Agentforce에 주입한 지시로 에이전트를 오도해 CRM 레코드를 조직 밖으로 유출 (OWASP ASI 부록 D)</t>
        </is>
      </c>
      <c r="H28" s="11" t="inlineStr">
        <is>
          <t>중</t>
        </is>
      </c>
      <c r="I28" s="11" t="inlineStr">
        <is>
          <t>상</t>
        </is>
      </c>
      <c r="J28" s="13">
        <f>IF(AND(H28="상",I28="상"),"매우 높음",IF(OR(AND(H28="상",I28="중"),AND(H28="중",I28="상")),"높음",IF(OR(AND(H28="중",I28="중"),AND(H28="상",I28="하"),AND(H28="하",I28="상")),"보통","낮음")))</f>
        <v/>
      </c>
      <c r="K28" s="5" t="inlineStr">
        <is>
          <t>제로클릭 데이터 유출 및 사용자 권한 전체 악용</t>
        </is>
      </c>
      <c r="L28" s="11" t="inlineStr">
        <is>
          <t>실증·공개 취약점</t>
        </is>
      </c>
      <c r="M28" s="11" t="n">
        <v>0</v>
      </c>
      <c r="N28" s="5" t="inlineStr">
        <is>
          <t>초기 접근(Initial Access)</t>
        </is>
      </c>
      <c r="O28" s="5" t="inlineStr">
        <is>
          <t>T0051.001, T0093</t>
        </is>
      </c>
      <c r="P28" s="5" t="inlineStr">
        <is>
          <t>LLM01, MCP06</t>
        </is>
      </c>
      <c r="Q28" s="5" t="inlineStr">
        <is>
          <t>비신뢰 콘텐츠 구획·출처 표시, 비신뢰 데이터 처리 중 도구 호출 제한, 목표 변경 시 인간 승인, '치명적 삼요소' 동시 성립 차단</t>
        </is>
      </c>
    </row>
    <row r="29" ht="179" customHeight="1">
      <c r="A29" s="10" t="inlineStr">
        <is>
          <t>D02. 프롬프트 인젝션 및 컨텍스트 노출</t>
        </is>
      </c>
      <c r="B29" s="11" t="inlineStr">
        <is>
          <t>UT-07</t>
        </is>
      </c>
      <c r="C29" s="5" t="inlineStr">
        <is>
          <t>간접 프롬프트 인젝션</t>
        </is>
      </c>
      <c r="D29" s="11" t="inlineStr">
        <is>
          <t>UT-07.2</t>
        </is>
      </c>
      <c r="E29" s="12" t="inlineStr">
        <is>
          <t>지연 실행형 주입</t>
        </is>
      </c>
      <c r="F29" s="5" t="inlineStr">
        <is>
          <t>- 공격자는 특정 키워드·다음 대화 턴·사용자의 후속 요청 같은 조건에서 발동하는 지시를 미리 심어, 주입 시점의 보호 장치를 피한 뒤 나중에 도구 호출·데이터 유출을 실행시킬 수 있음
- 주입과 실행 시점이 분리되어 턴 단위 도구 제한이나 실시간 탐지를 우회하며, 사후 원인 추적도 어려움</t>
        </is>
      </c>
      <c r="G29" s="5" t="inlineStr">
        <is>
          <t>■ AI 관점
- 발동 조건: 특정 키워드, 다음 대화 턴, 사용자의 후속 요청, 메일 수신·문서 추가 같은 이벤트 — 에이전트 활성화 트리거를 파악하면 외부에서 발동 시점을 조절할 수 있음 (ATLAS AML.T0051.002·T0084.002)
- 우회 대상: 비신뢰 데이터가 들어온 턴에서 도구 호출을 막는 보호 장치 — 실행을 다음 턴으로 미루면 그 턴에는 사용자 입력만 있는 것처럼 보임 (ATLAS AML.T0094)
- 주입과 실행 사이에 시간 차가 있어 실시간 탐지·사후 추적이 어렵고, 메모리·대화 스레드에 기록되면 세션을 넘어 지속됨 (UT-11.1·11.2)
■ 실제 사례
- [실증] Gemini 지연 도구 호출(2024-02): 메일 속 지시가 실행을 다음 대화 턴으로 미뤄, 비신뢰 데이터가 든 턴의 도구 호출 제한을 우회하고 Workspace 확장으로 비공개 문서를 조회 (ATLAS AML.CS0038)
- [실증] Gemini 캘린더 초대(2025-08): 초대 제목에 심은 지시가 사용자의 "고마워" 응답에 발동해 일정 삭제·Google Home 기기 제어·Zoom 영상 송출·데이터 유출을 수행 (ATLAS AML.CS0063)
- [실증] Copilot Studio 고객 지원 에이전트(2025-06): 메일 수신으로 동작하는 에이전트에 지시를 보내 회신 여부로 존재를 확인한 뒤, CRM 데이터를 메일로 유출 (ATLAS AML.CS0037)</t>
        </is>
      </c>
      <c r="H29" s="11" t="inlineStr">
        <is>
          <t>중</t>
        </is>
      </c>
      <c r="I29" s="11" t="inlineStr">
        <is>
          <t>중</t>
        </is>
      </c>
      <c r="J29" s="13">
        <f>IF(AND(H29="상",I29="상"),"매우 높음",IF(OR(AND(H29="상",I29="중"),AND(H29="중",I29="상")),"높음",IF(OR(AND(H29="중",I29="중"),AND(H29="상",I29="하"),AND(H29="하",I29="상")),"보통","낮음")))</f>
        <v/>
      </c>
      <c r="K29" s="5" t="inlineStr">
        <is>
          <t>즉시 탐지 회피 후 보호장치 우회 실행</t>
        </is>
      </c>
      <c r="L29" s="11" t="inlineStr">
        <is>
          <t>실증·공개 취약점</t>
        </is>
      </c>
      <c r="M29" s="11" t="n">
        <v>0</v>
      </c>
      <c r="N29" s="5" t="inlineStr">
        <is>
          <t>방어 회피(Defense Evasion)</t>
        </is>
      </c>
      <c r="O29" s="5" t="inlineStr">
        <is>
          <t>T0051.002, T0094</t>
        </is>
      </c>
      <c r="P29" s="5" t="inlineStr">
        <is>
          <t>LLM01</t>
        </is>
      </c>
      <c r="Q29" s="5" t="inlineStr">
        <is>
          <t>비신뢰 콘텐츠 구획·출처 표시, 비신뢰 데이터 처리 중 도구 호출 제한, 목표 변경 시 인간 승인, '치명적 삼요소' 동시 성립 차단</t>
        </is>
      </c>
    </row>
    <row r="30" ht="179" customHeight="1">
      <c r="A30" s="10" t="inlineStr">
        <is>
          <t>D02. 프롬프트 인젝션 및 컨텍스트 노출</t>
        </is>
      </c>
      <c r="B30" s="11" t="inlineStr">
        <is>
          <t>UT-07</t>
        </is>
      </c>
      <c r="C30" s="5" t="inlineStr">
        <is>
          <t>간접 프롬프트 인젝션</t>
        </is>
      </c>
      <c r="D30" s="11" t="inlineStr">
        <is>
          <t>UT-07.4</t>
        </is>
      </c>
      <c r="E30" s="12" t="inlineStr">
        <is>
          <t>에이전트 유인 및 클로킹</t>
        </is>
      </c>
      <c r="F30" s="5" t="inlineStr">
        <is>
          <t>- 공격자는 AI 에이전트를 노린 클릭 유도 화면, 프롬프트가 미리 채워진 AI 비서 링크, AI에만 다른 내용을 주는 클로킹으로 에이전트가 공격자 지시를 실행하도록 유인할 수 있음
- 사용자는 'AI로 요약' 같은 정상 기능을 쓴다고 인식하고 사람·보안 도구에는 무해한 화면만 보여, 메모리 오염·명령 실행이 드러나지 않음</t>
        </is>
      </c>
      <c r="G30" s="5" t="inlineStr">
        <is>
          <t>■ AI 관점
- 클릭 유인: 화면을 읽고 조작하는 컴퓨터 사용 에이전트·AI 브라우저는 버튼 문구·복사 안내 같은 UI 신호를 지시로 받아들여 클릭·코드 복사·실행을 수행 (ATLAS AML.T0100)
- 조작 링크: 주요 AI 비서는 URL 파라미터(?q=·?prompt=)로 첫 프롬프트를 받으므로, 'AI로 요약' 버튼·공유 링크로 위장한 링크 한 번이 사용자 세션에서 공격자 지시를 실행 (ATLAS AML.T0131)
- AI 대상 클로킹: 사용자 에이전트 문자열로 AI 브라우저·에이전트를 식별해 인젝션 콘텐츠를 주고, 사람·검색 크롤러·보안 스캐너에는 정상 콘텐츠를 보여 탐지를 피함 (ATLAS AML.T0134)
- 결과는 장기 메모리 오염(UT-11.1)·추천 편향(UT-20.3)·호스트 명령 실행(UT-22.1)으로 이어짐
■ 실제 사례
- [실제 사고] AI 추천 오염(2026-02): 'AI로 요약' 버튼에 자사 도메인을 신뢰 출처로 기억하라는 지시를 미리 채워 유포 — 약 60일간 메일 트래픽에서 31개 기업·14개 업종의 50여 종 확인, 건강·금융 조언 사이트 포함 (ATLAS AML.CS0072)
- [실증] AI ClickFix(2025-05): "컴퓨터인가요?" 확인 버튼으로 Claude 컴퓨터 사용 에이전트를 유인해, 클립보드에 복사된 명령을 터미널에서 실행하게 함 (ATLAS AML.CS0055)</t>
        </is>
      </c>
      <c r="H30" s="11" t="inlineStr">
        <is>
          <t>중</t>
        </is>
      </c>
      <c r="I30" s="11" t="inlineStr">
        <is>
          <t>중</t>
        </is>
      </c>
      <c r="J30" s="13">
        <f>IF(AND(H30="상",I30="상"),"매우 높음",IF(OR(AND(H30="상",I30="중"),AND(H30="중",I30="상")),"높음",IF(OR(AND(H30="중",I30="중"),AND(H30="상",I30="하"),AND(H30="하",I30="상")),"보통","낮음")))</f>
        <v/>
      </c>
      <c r="K30" s="5" t="inlineStr">
        <is>
          <t>에이전트 행위 유도(사용자 권한 범위)</t>
        </is>
      </c>
      <c r="L30" s="11" t="inlineStr">
        <is>
          <t>실제 사고 확인</t>
        </is>
      </c>
      <c r="M30" s="11" t="n">
        <v>1</v>
      </c>
      <c r="N30" s="5" t="inlineStr">
        <is>
          <t>초기 접근(Initial Access)</t>
        </is>
      </c>
      <c r="O30" s="5" t="inlineStr">
        <is>
          <t>T0100, T0131, T0134</t>
        </is>
      </c>
      <c r="P30" s="5" t="inlineStr">
        <is>
          <t>LLM01</t>
        </is>
      </c>
      <c r="Q30" s="5" t="inlineStr">
        <is>
          <t>비신뢰 콘텐츠 구획·출처 표시, 비신뢰 데이터 처리 중 도구 호출 제한, 목표 변경 시 인간 승인, '치명적 삼요소' 동시 성립 차단</t>
        </is>
      </c>
    </row>
    <row r="31" ht="204" customHeight="1">
      <c r="A31" s="10" t="inlineStr">
        <is>
          <t>D02. 프롬프트 인젝션 및 컨텍스트 노출</t>
        </is>
      </c>
      <c r="B31" s="11" t="inlineStr">
        <is>
          <t>UT-07</t>
        </is>
      </c>
      <c r="C31" s="5" t="inlineStr">
        <is>
          <t>간접 프롬프트 인젝션</t>
        </is>
      </c>
      <c r="D31" s="11" t="inlineStr">
        <is>
          <t>UT-07.5</t>
        </is>
      </c>
      <c r="E31" s="12" t="inlineStr">
        <is>
          <t>에이전트 목표 탈취</t>
        </is>
      </c>
      <c r="F31" s="5" t="inlineStr">
        <is>
          <t>- 공격자는 주입한 지시·조작된 도구 응답·위조 메시지로 에이전트의 목표와 계획, 판단 기준을 바꿔, 정상 업무 흐름 속에서 공격자 의도에 맞는 다단계 행위를 반복하게 할 수 있음
- 에이전트에 위임된 권한 전체가 공격자 목적에 쓰이며, 개별 행위는 정상 범위로 보여 목표 변경 자체를 감시하지 않으면 탐지가 어려움</t>
        </is>
      </c>
      <c r="G31" s="5" t="inlineStr">
        <is>
          <t>■ AI 관점
- 단일 응답 조작(UT-06.1·07.1)과 달리 목표·작업 선택·판단 경로 자체가 바뀌어, 이후 다단계 실행 전체가 공격자 목적을 수행함 (OWASP ASI01)
- 탈취 경로는 프롬프트 인젝션 외에 조작된 도구 응답(UT-29.3), 악성 아티팩트, 위조된 에이전트 간 메시지(UT-27.1), 오염된 외부 데이터로 다양함
- 반복 캘린더 초대로 매일 조금씩 목표 가중치를 바꾸는 점진적 탈취는 개별 행위가 정책 범위 안에 있어 규칙 기반 탐지에 걸리지 않음 (OWASP ASI01 시나리오 #3)
- 송금·승인·외부 발송 권한을 가진 업무 에이전트에서는 목표 탈취가 곧 사기 거래·허위 정보 기반 의사결정으로 이어짐 (OWASP ASI01 예시 #3·#4)
■ 실제 사례
- [공개 취약점] ChatGPT Operator(2025-02): 웹 콘텐츠의 지시를 따른 Operator가 인증된 페이지에 접근해 사용자 개인정보를 노출 (OWASP ASI 부록 D·ASI01 시나리오 #2)
- [실증] Gemini 캘린더 초대(2025-08): 초대 제목의 지시가 비서의 작업을 가로채 스마트홈 기기 제어·Zoom 영상 송출 등 사용자가 요청하지 않은 행위를 수행 (ATLAS AML.CS0063)
- [시나리오] 반복 캘린더 초대로 플래너 에이전트의 목표 가중치를 매일 조금씩 바꿔, 정책 범위 안에서 저마찰 승인 쪽으로 유도 (OWASP ASI01 시나리오 #3)</t>
        </is>
      </c>
      <c r="H31" s="11" t="inlineStr">
        <is>
          <t>중</t>
        </is>
      </c>
      <c r="I31" s="11" t="inlineStr">
        <is>
          <t>상</t>
        </is>
      </c>
      <c r="J31" s="13">
        <f>IF(AND(H31="상",I31="상"),"매우 높음",IF(OR(AND(H31="상",I31="중"),AND(H31="중",I31="상")),"높음",IF(OR(AND(H31="중",I31="중"),AND(H31="상",I31="하"),AND(H31="하",I31="상")),"보통","낮음")))</f>
        <v/>
      </c>
      <c r="K31" s="5" t="inlineStr">
        <is>
          <t>에이전트 권한 전체를 공격자 목적에 사용</t>
        </is>
      </c>
      <c r="L31" s="11" t="inlineStr">
        <is>
          <t>실증·공개 취약점</t>
        </is>
      </c>
      <c r="M31" s="11" t="n">
        <v>0</v>
      </c>
      <c r="N31" s="5" t="inlineStr">
        <is>
          <t>실행(Execution)</t>
        </is>
      </c>
      <c r="O31" s="5" t="n"/>
      <c r="P31" s="5" t="inlineStr">
        <is>
          <t>ASI01</t>
        </is>
      </c>
      <c r="Q31" s="5" t="inlineStr">
        <is>
          <t>비신뢰 콘텐츠 구획·출처 표시, 비신뢰 데이터 처리 중 도구 호출 제한, 목표 변경 시 인간 승인, '치명적 삼요소' 동시 성립 차단</t>
        </is>
      </c>
    </row>
    <row r="32" ht="191.5" customHeight="1">
      <c r="A32" s="10" t="inlineStr">
        <is>
          <t>D02. 프롬프트 인젝션 및 컨텍스트 노출</t>
        </is>
      </c>
      <c r="B32" s="11" t="inlineStr">
        <is>
          <t>UT-08</t>
        </is>
      </c>
      <c r="C32" s="5" t="inlineStr">
        <is>
          <t>숨겨진 컨텍스트 노출</t>
        </is>
      </c>
      <c r="D32" s="11" t="inlineStr">
        <is>
          <t>UT-08.1</t>
        </is>
      </c>
      <c r="E32" s="12" t="inlineStr">
        <is>
          <t>시스템 프롬프트 추출</t>
        </is>
      </c>
      <c r="F32" s="5" t="inlineStr">
        <is>
          <t>- 공격자는 반복 질의·역할 전환·출력 형식 변환 요청으로 시스템 프롬프트와 내부 규칙, 구분자·제어 토큰을 추출할 수 있음
- 노출 자체의 피해는 제한적이나 거부 조건·업무 로직이 드러나 맞춤형 인젝션 설계에 쓰이고, 시스템 프롬프트에 의존한 통제는 무력화됨</t>
        </is>
      </c>
      <c r="G32" s="5" t="inlineStr">
        <is>
          <t>■ AI 관점
- 수법: 반복 질의, 역할 전환, "위 내용을 코드 블록으로 출력" 같은 형식 변환·번역·요약 요청, 응답 관찰을 통한 구분자·특수 문자·기능 키워드 추론 (ATLAS AML.T0056·T0069)
- 핵심 노출 대상은 프롬프트 전문보다 그 안의 거부 조건·필터 기준·업무 판단 로직·출력 형식 규칙이며, 이를 알면 거부 패턴을 피한 맞춤형 인젝션을 설계할 수 있음 (OWASP LLM08:2026 예시 #2·#3·#5)
- 구분자·제어 토큰을 알아내면 가짜 RAG 결과·사용자 메시지·내부 추론 경계를 위조해 지시 체계를 교란할 수 있음 (UT-06.1·10.1)
- 숨은 컨텍스트는 결국 노출된다고 가정해야 하며, 시스템 프롬프트를 인가·필터링 경계로 쓰면 추출 즉시 통제가 무력화됨 (OWASP LLM08:2026)
■ 실제 사례
- [실증] M365 Copilot 거래 정보 조작(2024-08): 응답을 관찰해 구분자(**·**END**)와 search_enterprise 함수·EmailMessage 객체를 파악한 뒤, 이를 이용해 가짜 RAG 결과를 주입 (ATLAS AML.CS0026)
- [실증] OpenClaw(2026-02): &lt;&lt;&lt;·&gt;&gt;&gt; 제어 시퀀스와 &lt;think&gt; 태그를 파악해 사용자 메시지·내부 추론 경계를 위조하고 C2 지시를 심음 (ATLAS AML.CS0051)
- [공개 취약점] CVE-2024-5184(EmailGPT): 프롬프트 인젝션으로 시스템 프롬프트 노출 (OWASP DSGAI01)</t>
        </is>
      </c>
      <c r="H32" s="11" t="inlineStr">
        <is>
          <t>중</t>
        </is>
      </c>
      <c r="I32" s="11" t="inlineStr">
        <is>
          <t>하</t>
        </is>
      </c>
      <c r="J32" s="13">
        <f>IF(AND(H32="상",I32="상"),"매우 높음",IF(OR(AND(H32="상",I32="중"),AND(H32="중",I32="상")),"높음",IF(OR(AND(H32="중",I32="중"),AND(H32="상",I32="하"),AND(H32="하",I32="상")),"보통","낮음")))</f>
        <v/>
      </c>
      <c r="K32" s="5" t="inlineStr">
        <is>
          <t>정책 정보 노출(직접 피해 제한적)</t>
        </is>
      </c>
      <c r="L32" s="11" t="inlineStr">
        <is>
          <t>실증·공개 취약점</t>
        </is>
      </c>
      <c r="M32" s="11" t="n">
        <v>0</v>
      </c>
      <c r="N32" s="5" t="inlineStr">
        <is>
          <t>탐색(Discovery)</t>
        </is>
      </c>
      <c r="O32" s="5" t="inlineStr">
        <is>
          <t>T0056, T0069, T0069.000, T0069.001, T0069.002</t>
        </is>
      </c>
      <c r="P32" s="5" t="inlineStr">
        <is>
          <t>LLM08</t>
        </is>
      </c>
      <c r="Q32" s="5" t="inlineStr">
        <is>
          <t>은닉 컨텍스트 노출 가정 설계, 비밀·보안 로직을 프롬프트에 두지 않음, 권한은 외부 정책엔진에서 강제</t>
        </is>
      </c>
    </row>
    <row r="33" ht="204" customHeight="1">
      <c r="A33" s="10" t="inlineStr">
        <is>
          <t>D02. 프롬프트 인젝션 및 컨텍스트 노출</t>
        </is>
      </c>
      <c r="B33" s="11" t="inlineStr">
        <is>
          <t>UT-08</t>
        </is>
      </c>
      <c r="C33" s="5" t="inlineStr">
        <is>
          <t>숨겨진 컨텍스트 노출</t>
        </is>
      </c>
      <c r="D33" s="11" t="inlineStr">
        <is>
          <t>UT-08.2</t>
        </is>
      </c>
      <c r="E33" s="12" t="inlineStr">
        <is>
          <t>에이전트 구성 및 권한 탐색</t>
        </is>
      </c>
      <c r="F33" s="5" t="inlineStr">
        <is>
          <t>- 공격자는 에이전트에 직접 질의하거나 요청별 성공·거부 반응을 관찰해 연결 도구와 파라미터, 지식원, 활성화 트리거, 동작 권한 범위를 파악할 수 있음
- 탐색 결과는 반출 경로와 고가치 데이터, 원격 발동 조건을 드러내 후속 인젝션과 도구 악용을 정밀하게 만듦</t>
        </is>
      </c>
      <c r="G33" s="5" t="inlineStr">
        <is>
          <t>■ AI 관점
- 탐색 대상: 연결 도구와 파라미터, 지식원·임베디드 데이터, 활성화 트리거(메일 수신·문서 추가 등), 호출 체인, 에이전트가 동작하는 신원과 권한 범위 (ATLAS AML.T0084·T0133)
- 수법: "어떤 도구를 쓸 수 있나" 같은 직접 질의, 다양한 요청의 성공·실패·거부 패턴 관찰, 노출된 관리 콘솔·설정 파일 열람 — 설정 접근 권한 없이 런타임 대화만으로도 가능 (OWASP LLM08:2026 시나리오 #2)
- 결과물은 외부 발송 도구(반출 경로), CRM 같은 고가치 데이터, 원격 발동 트리거, 실행 함수로 이어지는 호출 체인 목록이며 후속 인젝션(UT-07.1)·도구 연쇄 악용(UT-21.4)·명령 주입(UT-22.4)의 표적이 됨
- 도구 스키마·역할별 권한 조건이 숨은 컨텍스트에 있으면 대화만으로 드러나므로, 권한 판단은 모델 밖 정책 엔진에서 강제해야 함 (OWASP LLM08:2026 예시 #1·#4)
■ 실제 사례
- [실증] Copilot Studio 고객 지원 에이전트(2025-06): 프롬프트로 지식원 파일·메일 발송 도구·Salesforce 조회 도구·메일 수신 트리거를 파악한 뒤 CRM 데이터 유출 체인을 구성 (ATLAS AML.CS0037)
- [실증] Claude Code GitHub Action(2026-06): 이슈·PR 이벤트 트리거와 도구별 실행 경로를 분석해, 샌드박스 밖에서 동작하는 내장 Read 도구로 환경변수의 자격증명에 접근 (ATLAS AML.CS0067)
- [실증] LLMSmith(2025-02): 소스 정적 분석으로 사용자 입력·LLM 출력이 exec·eval로 이어지는 호출 체인을 찾아 인터넷 공개 앱의 RCE 표적을 선별 (ATLAS AML.CS0052)</t>
        </is>
      </c>
      <c r="H33" s="11" t="inlineStr">
        <is>
          <t>중</t>
        </is>
      </c>
      <c r="I33" s="11" t="inlineStr">
        <is>
          <t>중</t>
        </is>
      </c>
      <c r="J33" s="13">
        <f>IF(AND(H33="상",I33="상"),"매우 높음",IF(OR(AND(H33="상",I33="중"),AND(H33="중",I33="상")),"높음",IF(OR(AND(H33="중",I33="중"),AND(H33="상",I33="하"),AND(H33="하",I33="상")),"보통","낮음")))</f>
        <v/>
      </c>
      <c r="K33" s="5" t="inlineStr">
        <is>
          <t>도구·권한 범위와 반출 경로 노출로 후속 인젝션·도구 악용 정밀화</t>
        </is>
      </c>
      <c r="L33" s="11" t="inlineStr">
        <is>
          <t>실증·공개 취약점</t>
        </is>
      </c>
      <c r="M33" s="11" t="n">
        <v>0</v>
      </c>
      <c r="N33" s="5" t="inlineStr">
        <is>
          <t>탐색(Discovery)</t>
        </is>
      </c>
      <c r="O33" s="5" t="inlineStr">
        <is>
          <t>T0084, T0084.000, T0084.001, T0084.002, T0084.003, T0133</t>
        </is>
      </c>
      <c r="P33" s="5" t="inlineStr">
        <is>
          <t>LLM08</t>
        </is>
      </c>
      <c r="Q33" s="5" t="inlineStr">
        <is>
          <t>은닉 컨텍스트 노출 가정 설계, 비밀·보안 로직을 프롬프트에 두지 않음, 권한은 외부 정책엔진에서 강제</t>
        </is>
      </c>
    </row>
    <row r="34" ht="179" customHeight="1">
      <c r="A34" s="10" t="inlineStr">
        <is>
          <t>D02. 프롬프트 인젝션 및 컨텍스트 노출</t>
        </is>
      </c>
      <c r="B34" s="11" t="inlineStr">
        <is>
          <t>UT-08</t>
        </is>
      </c>
      <c r="C34" s="5" t="inlineStr">
        <is>
          <t>숨겨진 컨텍스트 노출</t>
        </is>
      </c>
      <c r="D34" s="11" t="inlineStr">
        <is>
          <t>UT-08.4</t>
        </is>
      </c>
      <c r="E34" s="12" t="inlineStr">
        <is>
          <t>프롬프트 내 비밀정보 노출</t>
        </is>
      </c>
      <c r="F34" s="5" t="inlineStr">
        <is>
          <t>- 공격자는 시스템 프롬프트·에이전트 지시문·도구 설명에 기재된 API 키·접속 정보·내부 URL을 프롬프트 추출만으로 획득할 수 있음
- 자격증명을 숨은 컨텍스트에 두는 설계 결함이 원인이며, 노출된 자격증명은 AI를 거치지 않고 연동 시스템에 바로 쓰임</t>
        </is>
      </c>
      <c r="G34" s="5" t="inlineStr">
        <is>
          <t>■ AI 관점
- 흔한 형태: 시스템 프롬프트·에이전트 지시문·도구 설명에 API 키·DB 연결 문자열·토큰·내부 URL을 직접 기재하거나, 역할별 접근 규칙을 프롬프트로만 정의 (OWASP LLM08:2026 예시 #1)
- 프롬프트 추출(UT-08.1)이나 로그·추적 데이터 노출(UT-33.1)로 함께 드러나며, 유출된 자격증명은 연동 시스템에 직접 쓰여 AI 측 통제를 거치지 않음 (UT-25.4)
- MCP 환경에서는 하드코딩 자격증명·장기 토큰이 모델 메모리·프로토콜 로그에 남는 형태로도 나타남 (OWASP MCP01)
- 숨은 컨텍스트는 비밀이 아니라는 전제로 설계해야 하며, 자격증명은 모델이 직접 다루지 않는 서버 측 비밀 저장소·토큰 중개 계층으로 분리해야 함 (OWASP LLM08:2026·LLM02:2026)
■ 실제 사례
- 공개 사고 미확인 — 프롬프트에 든 자격증명이 추출된 공개 사고는 없으나, 시스템 프롬프트 추출(UT-08.1) 사례가 다수여서 기재하는 순간 노출을 전제해야 함
- [시나리오] 도구 연동용 자격증명이 든 시스템 프롬프트가 유출되어, 공격자가 해당 자격증명으로 연동 시스템에 직접 접근 (OWASP LLM08:2026 시나리오 #1)</t>
        </is>
      </c>
      <c r="H34" s="11" t="inlineStr">
        <is>
          <t>하</t>
        </is>
      </c>
      <c r="I34" s="11" t="inlineStr">
        <is>
          <t>상</t>
        </is>
      </c>
      <c r="J34" s="13">
        <f>IF(AND(H34="상",I34="상"),"매우 높음",IF(OR(AND(H34="상",I34="중"),AND(H34="중",I34="상")),"높음",IF(OR(AND(H34="중",I34="중"),AND(H34="상",I34="하"),AND(H34="하",I34="상")),"보통","낮음")))</f>
        <v/>
      </c>
      <c r="K34" s="5" t="inlineStr">
        <is>
          <t>연동 시스템 자격증명 노출로 다수 시스템 접근</t>
        </is>
      </c>
      <c r="L34" s="11" t="inlineStr">
        <is>
          <t>이론·시나리오</t>
        </is>
      </c>
      <c r="M34" s="11" t="n">
        <v>0</v>
      </c>
      <c r="N34" s="5" t="inlineStr">
        <is>
          <t>자격증명 접근(Credential Access)</t>
        </is>
      </c>
      <c r="O34" s="5" t="n"/>
      <c r="P34" s="5" t="inlineStr">
        <is>
          <t>LLM08</t>
        </is>
      </c>
      <c r="Q34" s="5" t="inlineStr">
        <is>
          <t>은닉 컨텍스트 노출 가정 설계, 비밀·보안 로직을 프롬프트에 두지 않음, 권한은 외부 정책엔진에서 강제</t>
        </is>
      </c>
    </row>
    <row r="35" ht="41.5" customHeight="1">
      <c r="A35" s="10" t="inlineStr">
        <is>
          <t>D03. AI 데이터 오염 및 유출</t>
        </is>
      </c>
      <c r="B35" s="11" t="inlineStr">
        <is>
          <t>UT-09</t>
        </is>
      </c>
      <c r="C35" s="5" t="inlineStr">
        <is>
          <t>학습 데이터 오염</t>
        </is>
      </c>
      <c r="D35" s="11" t="inlineStr">
        <is>
          <t>UT-09.1</t>
        </is>
      </c>
      <c r="E35" s="12" t="inlineStr">
        <is>
          <t>학습 데이터 직접 오염</t>
        </is>
      </c>
      <c r="F35" s="14" t="inlineStr">
        <is>
          <t>사전학습/파인튜닝 데이터에 소량의 오염 샘플 또는 트리거 패턴을 삽입하여 모델에 편향, 성능 저하, 조건부 오작동(백도어)을 내재화</t>
        </is>
      </c>
      <c r="G35" s="14" t="inlineStr">
        <is>
          <t>• [ATLAS CS0002·실제사고] VirusTotal에 변종 샘플을 대량 제출해 크라우드소싱 학습 데이터를 오염
• [ATLAS CS0009·실제사고] Tay 챗봇이 사용자 대화로 온라인 학습되며 오염되어 혐오 발언 생성(실제 사고)
• [ATLAS CS0025·실증] URL 목록형 대규모 데이터셋의 만료 도메인을 매입해 학습 데이터 오염(Split-View)</t>
        </is>
      </c>
      <c r="H35" s="11" t="inlineStr">
        <is>
          <t>상</t>
        </is>
      </c>
      <c r="I35" s="11" t="inlineStr">
        <is>
          <t>중</t>
        </is>
      </c>
      <c r="J35" s="13">
        <f>IF(AND(H35="상",I35="상"),"매우 높음",IF(OR(AND(H35="상",I35="중"),AND(H35="중",I35="상")),"높음",IF(OR(AND(H35="중",I35="중"),AND(H35="상",I35="하"),AND(H35="하",I35="상")),"보통","낮음")))</f>
        <v/>
      </c>
      <c r="K35" s="5" t="inlineStr">
        <is>
          <t>모델 전반 무결성 훼손(통제권 탈취와 간접 연계)</t>
        </is>
      </c>
      <c r="L35" s="11" t="inlineStr">
        <is>
          <t>실제 사고 확인</t>
        </is>
      </c>
      <c r="M35" s="11" t="n">
        <v>2</v>
      </c>
      <c r="N35" s="5" t="inlineStr">
        <is>
          <t>지속성(Persistence)</t>
        </is>
      </c>
      <c r="O35" s="5" t="inlineStr">
        <is>
          <t>T0020</t>
        </is>
      </c>
      <c r="P35" s="5" t="inlineStr">
        <is>
          <t>LLM05, DSGAI04</t>
        </is>
      </c>
      <c r="Q35" s="5" t="inlineStr">
        <is>
          <t>데이터셋 출처·계보 관리(DBOM/ML-BOM), 학습데이터 정제·이상치 탐지, 재학습 입력 검증</t>
        </is>
      </c>
    </row>
    <row r="36" ht="41.5" customHeight="1">
      <c r="A36" s="10" t="inlineStr">
        <is>
          <t>D03. AI 데이터 오염 및 유출</t>
        </is>
      </c>
      <c r="B36" s="11" t="inlineStr">
        <is>
          <t>UT-09</t>
        </is>
      </c>
      <c r="C36" s="5" t="inlineStr">
        <is>
          <t>학습 데이터 오염</t>
        </is>
      </c>
      <c r="D36" s="11" t="inlineStr">
        <is>
          <t>UT-09.3</t>
        </is>
      </c>
      <c r="E36" s="12" t="inlineStr">
        <is>
          <t>재학습 피드백 오염</t>
        </is>
      </c>
      <c r="F36" s="14" t="inlineStr">
        <is>
          <t>사용자 피드백/운영 로그를 자동 재학습에 반영하는 구조를 악용하여 조작 입력을 반복 주입함으로써 모델 행동을 점진적으로 왜곡</t>
        </is>
      </c>
      <c r="G36" s="14" t="inlineStr">
        <is>
          <t>• [ATLAS CS0009·실제사고] Tay 챗봇이 사용자 대화로 온라인 학습되며 오염되어 혐오 발언 생성(실제 사고)
• [OWASP 시나리오] 자동 재학습 피드백 루프를 악용한 모델 왜곡(LLM05 시나리오#3)</t>
        </is>
      </c>
      <c r="H36" s="11" t="inlineStr">
        <is>
          <t>중</t>
        </is>
      </c>
      <c r="I36" s="11" t="inlineStr">
        <is>
          <t>중</t>
        </is>
      </c>
      <c r="J36" s="13">
        <f>IF(AND(H36="상",I36="상"),"매우 높음",IF(OR(AND(H36="상",I36="중"),AND(H36="중",I36="상")),"높음",IF(OR(AND(H36="중",I36="중"),AND(H36="상",I36="하"),AND(H36="하",I36="상")),"보통","낮음")))</f>
        <v/>
      </c>
      <c r="K36" s="5" t="inlineStr">
        <is>
          <t>점진적 왜곡(탐지 시 롤백 가능)</t>
        </is>
      </c>
      <c r="L36" s="11" t="inlineStr">
        <is>
          <t>실제 사고 확인</t>
        </is>
      </c>
      <c r="M36" s="11" t="n">
        <v>1</v>
      </c>
      <c r="N36" s="5" t="inlineStr">
        <is>
          <t>지속성(Persistence)</t>
        </is>
      </c>
      <c r="O36" s="5" t="n"/>
      <c r="P36" s="5" t="inlineStr">
        <is>
          <t>LLM05</t>
        </is>
      </c>
      <c r="Q36" s="5" t="inlineStr">
        <is>
          <t>데이터셋 출처·계보 관리(DBOM/ML-BOM), 학습데이터 정제·이상치 탐지, 재학습 입력 검증</t>
        </is>
      </c>
    </row>
    <row r="37" ht="41.5" customHeight="1">
      <c r="A37" s="10" t="inlineStr">
        <is>
          <t>D03. AI 데이터 오염 및 유출</t>
        </is>
      </c>
      <c r="B37" s="11" t="inlineStr">
        <is>
          <t>UT-09</t>
        </is>
      </c>
      <c r="C37" s="5" t="inlineStr">
        <is>
          <t>학습 데이터 오염</t>
        </is>
      </c>
      <c r="D37" s="11" t="inlineStr">
        <is>
          <t>UT-09.4</t>
        </is>
      </c>
      <c r="E37" s="12" t="inlineStr">
        <is>
          <t>무결성 저하 공격</t>
        </is>
      </c>
      <c r="F37" s="14" t="inlineStr">
        <is>
          <t>적대적 입력 반복 투입 또는 데이터셋 일부 훼손을 통해 모델/데이터셋의 신뢰도를 저하시켜 운영 중단 또는 재학습 비용 유발</t>
        </is>
      </c>
      <c r="G37" s="14" t="inlineStr">
        <is>
          <t>• [ATLAS CS0025·실증] URL 목록형 대규모 데이터셋의 만료 도메인을 매입해 학습 데이터 오염(Split-View)
• [ATLAS CS0006·실제사고] Clearview AI 저장소 설정 오류로 소스코드·자격증명·모델 노출
• [ATLAS CS0009·실제사고] Tay 챗봇이 사용자 대화로 온라인 학습되며 오염되어 혐오 발언 생성(실제 사고)</t>
        </is>
      </c>
      <c r="H37" s="11" t="inlineStr">
        <is>
          <t>상</t>
        </is>
      </c>
      <c r="I37" s="11" t="inlineStr">
        <is>
          <t>중</t>
        </is>
      </c>
      <c r="J37" s="13">
        <f>IF(AND(H37="상",I37="상"),"매우 높음",IF(OR(AND(H37="상",I37="중"),AND(H37="중",I37="상")),"높음",IF(OR(AND(H37="중",I37="중"),AND(H37="상",I37="하"),AND(H37="하",I37="상")),"보통","낮음")))</f>
        <v/>
      </c>
      <c r="K37" s="5" t="inlineStr">
        <is>
          <t>모델 신뢰도 저하 및 재학습 비용</t>
        </is>
      </c>
      <c r="L37" s="11" t="inlineStr">
        <is>
          <t>실제 사고 확인</t>
        </is>
      </c>
      <c r="M37" s="11" t="n">
        <v>2</v>
      </c>
      <c r="N37" s="5" t="inlineStr">
        <is>
          <t>영향(Impact)</t>
        </is>
      </c>
      <c r="O37" s="5" t="inlineStr">
        <is>
          <t>T0031, T0059</t>
        </is>
      </c>
      <c r="P37" s="5" t="inlineStr">
        <is>
          <t>DSGAI04</t>
        </is>
      </c>
      <c r="Q37" s="5" t="inlineStr">
        <is>
          <t>데이터셋 출처·계보 관리(DBOM/ML-BOM), 학습데이터 정제·이상치 탐지, 재학습 입력 검증</t>
        </is>
      </c>
    </row>
    <row r="38" ht="204" customHeight="1">
      <c r="A38" s="10" t="inlineStr">
        <is>
          <t>D03. AI 데이터 오염 및 유출</t>
        </is>
      </c>
      <c r="B38" s="11" t="inlineStr">
        <is>
          <t>UT-10</t>
        </is>
      </c>
      <c r="C38" s="5" t="inlineStr">
        <is>
          <t>지식원(RAG) 오염</t>
        </is>
      </c>
      <c r="D38" s="11" t="inlineStr">
        <is>
          <t>UT-10.1</t>
        </is>
      </c>
      <c r="E38" s="12" t="inlineStr">
        <is>
          <t>검색 코퍼스 오염</t>
        </is>
      </c>
      <c r="F38" s="5" t="inlineStr">
        <is>
          <t>- 공격자는 RAG가 색인하는 메일·채널·공유 문서·외부 웹에 특정 질의에 걸리도록 설계한 허위 문서나 지시를 넣어, AI가 이를 권위 있는 근거로 인용하게 할 수 있음
- 한 번 색인된 오염 문서는 질의할 때마다 여러 사용자에게 반복 노출되며, 적은 수의 문서로도 대규모 지식베이스의 응답을 장악할 수 있음</t>
        </is>
      </c>
      <c r="G38" s="5" t="inlineStr">
        <is>
          <t>■ AI 관점
- 표적 파악: RAG가 무엇을 색인하는지(받은 메일 전체, 공개 채널, 공유 드라이브, 스크랩 대상 웹) 공개 문서나 응답 관찰로 확인 — 수신자가 열지 않은 메일까지 색인되는 경우가 많음 (ATLAS AML.T0064)
- 콘텐츠 설계: 특정 질의(예: 거래처 계좌, API 키 위치)에 검색되도록 키워드·문맥을 맞춘 문서를 만들고, 허위 정보·인젝션 지시·가짜 RAG 항목을 함께 담음 (ATLAS AML.T0066·T0071)
- 적재 경로: 외부 메일 발송, 공개 채널 게시, 공유 문서 편집, 스크랩 대상 웹 게시처럼 정상 수집 경로를 그대로 쓰므로 시스템 침투 없이도 색인됨 (ATLAS AML.T0070)
- 수백만 건 규모의 지식베이스에서도 오염 문서 5건으로 약 90% 공격 성공이 보고되었으며, 문서 내용이 아닌 임베딩 기하 구조를 노리는 오염은 UT-10.3에서 다룸 (OWASP LLM01:2026 시나리오 #4)
■ 실제 사례
- [실증] M365 Copilot 거래 정보 조작(2024-08): 은행 정보 질의에 검색되도록 설계한 메일을 보내, Copilot이 공격자 계좌를 정상 송금 정보처럼 답하게 함 (ATLAS AML.CS0026)
- [실증] Slack AI(2024-08): 공개 채널에 'API 키' 질의에 걸리는 메시지를 올려, 피해자의 비공개 채널 API 키를 재인증 링크에 담아 노출시킴 (ATLAS AML.CS0035)
- [실증] Morris II 웜(2024-03): RAG에 저장된 메일 속 자기복제 프롬프트가 답장 생성 시 검색되어 다른 이메일 비서로 전파 (ATLAS AML.CS0024)</t>
        </is>
      </c>
      <c r="H38" s="11" t="inlineStr">
        <is>
          <t>중</t>
        </is>
      </c>
      <c r="I38" s="11" t="inlineStr">
        <is>
          <t>중</t>
        </is>
      </c>
      <c r="J38" s="13">
        <f>IF(AND(H38="상",I38="상"),"매우 높음",IF(OR(AND(H38="상",I38="중"),AND(H38="중",I38="상")),"높음",IF(OR(AND(H38="중",I38="중"),AND(H38="상",I38="하"),AND(H38="하",I38="상")),"보통","낮음")))</f>
        <v/>
      </c>
      <c r="K38" s="5" t="inlineStr">
        <is>
          <t>응답 무결성 훼손(업무 판단 및 거래 오류)</t>
        </is>
      </c>
      <c r="L38" s="11" t="inlineStr">
        <is>
          <t>실증·공개 취약점</t>
        </is>
      </c>
      <c r="M38" s="11" t="n">
        <v>0</v>
      </c>
      <c r="N38" s="5" t="inlineStr">
        <is>
          <t>지속성(Persistence)</t>
        </is>
      </c>
      <c r="O38" s="5" t="inlineStr">
        <is>
          <t>T0064, T0066, T0070, T0071</t>
        </is>
      </c>
      <c r="P38" s="5" t="inlineStr">
        <is>
          <t>LLM01, ASI06, DSGAI21</t>
        </is>
      </c>
      <c r="Q38" s="5" t="inlineStr">
        <is>
          <t>수집원 신뢰등급·서명, 색인 전 검증, 검색 결과 출처 표시, 임베딩 모델 자체 검증</t>
        </is>
      </c>
    </row>
    <row r="39" ht="41.5" customHeight="1">
      <c r="A39" s="10" t="inlineStr">
        <is>
          <t>D03. AI 데이터 오염 및 유출</t>
        </is>
      </c>
      <c r="B39" s="11" t="inlineStr">
        <is>
          <t>UT-10</t>
        </is>
      </c>
      <c r="C39" s="5" t="inlineStr">
        <is>
          <t>지식원(RAG) 오염</t>
        </is>
      </c>
      <c r="D39" s="11" t="inlineStr">
        <is>
          <t>UT-10.2</t>
        </is>
      </c>
      <c r="E39" s="12" t="inlineStr">
        <is>
          <t>에이전트 조회 데이터 오염</t>
        </is>
      </c>
      <c r="F39" s="14" t="inlineStr">
        <is>
          <t>에이전트 도구가 조회하는 DB/문서 저장소/검색 색인에 악성 지시나 허위 데이터를 기록하여, 도구 호출 결과를 통해 에이전트 행위 조작</t>
        </is>
      </c>
      <c r="G39" s="14" t="inlineStr">
        <is>
          <t>— (근거 사례 없음: OWASP 위험 정의 기반)</t>
        </is>
      </c>
      <c r="H39" s="11" t="inlineStr">
        <is>
          <t>하</t>
        </is>
      </c>
      <c r="I39" s="11" t="inlineStr">
        <is>
          <t>상</t>
        </is>
      </c>
      <c r="J39" s="13">
        <f>IF(AND(H39="상",I39="상"),"매우 높음",IF(OR(AND(H39="상",I39="중"),AND(H39="중",I39="상")),"높음",IF(OR(AND(H39="중",I39="중"),AND(H39="상",I39="하"),AND(H39="하",I39="상")),"보통","낮음")))</f>
        <v/>
      </c>
      <c r="K39" s="5" t="inlineStr">
        <is>
          <t>도구 결과 신뢰를 통한 에이전트 행위 조작</t>
        </is>
      </c>
      <c r="L39" s="11" t="inlineStr">
        <is>
          <t>이론·시나리오</t>
        </is>
      </c>
      <c r="M39" s="11" t="n">
        <v>0</v>
      </c>
      <c r="N39" s="5" t="inlineStr">
        <is>
          <t>지속성(Persistence)</t>
        </is>
      </c>
      <c r="O39" s="5" t="inlineStr">
        <is>
          <t>T0099</t>
        </is>
      </c>
      <c r="P39" s="5" t="inlineStr">
        <is>
          <t>ASI06</t>
        </is>
      </c>
      <c r="Q39" s="5" t="inlineStr">
        <is>
          <t>수집원 신뢰등급·서명, 색인 전 검증, 검색 결과 출처 표시, 임베딩 모델 자체 검증</t>
        </is>
      </c>
    </row>
    <row r="40" ht="41.5" customHeight="1">
      <c r="A40" s="10" t="inlineStr">
        <is>
          <t>D03. AI 데이터 오염 및 유출</t>
        </is>
      </c>
      <c r="B40" s="11" t="inlineStr">
        <is>
          <t>UT-10</t>
        </is>
      </c>
      <c r="C40" s="5" t="inlineStr">
        <is>
          <t>지식원(RAG) 오염</t>
        </is>
      </c>
      <c r="D40" s="11" t="inlineStr">
        <is>
          <t>UT-10.3</t>
        </is>
      </c>
      <c r="E40" s="12" t="inlineStr">
        <is>
          <t>임베딩 공간 조작</t>
        </is>
      </c>
      <c r="F40" s="14" t="inlineStr">
        <is>
          <t>임베딩 유사도를 노린 문서 조작 또는 시맨틱 캐시 오염을 통해 검색 순위를 장악하여 특정 질의에 공격자 콘텐츠가 우선 반환되도록 유도</t>
        </is>
      </c>
      <c r="G40" s="14" t="inlineStr">
        <is>
          <t>• [OWASP 시나리오] 임베딩 유사도를 노린 공개 수집 파이프라인 공격(LLM09 시나리오#1)</t>
        </is>
      </c>
      <c r="H40" s="11" t="inlineStr">
        <is>
          <t>하</t>
        </is>
      </c>
      <c r="I40" s="11" t="inlineStr">
        <is>
          <t>중</t>
        </is>
      </c>
      <c r="J40" s="13">
        <f>IF(AND(H40="상",I40="상"),"매우 높음",IF(OR(AND(H40="상",I40="중"),AND(H40="중",I40="상")),"높음",IF(OR(AND(H40="중",I40="중"),AND(H40="상",I40="하"),AND(H40="하",I40="상")),"보통","낮음")))</f>
        <v/>
      </c>
      <c r="K40" s="5" t="inlineStr">
        <is>
          <t>특정 질의 검색 결과 장악</t>
        </is>
      </c>
      <c r="L40" s="11" t="inlineStr">
        <is>
          <t>이론·시나리오</t>
        </is>
      </c>
      <c r="M40" s="11" t="n">
        <v>0</v>
      </c>
      <c r="N40" s="5" t="inlineStr">
        <is>
          <t>지속성(Persistence)</t>
        </is>
      </c>
      <c r="O40" s="5" t="n"/>
      <c r="P40" s="5" t="inlineStr">
        <is>
          <t>LLM09</t>
        </is>
      </c>
      <c r="Q40" s="5" t="inlineStr">
        <is>
          <t>수집원 신뢰등급·서명, 색인 전 검증, 검색 결과 출처 표시, 임베딩 모델 자체 검증</t>
        </is>
      </c>
    </row>
    <row r="41" ht="54" customHeight="1">
      <c r="A41" s="10" t="inlineStr">
        <is>
          <t>D03. AI 데이터 오염 및 유출</t>
        </is>
      </c>
      <c r="B41" s="11" t="inlineStr">
        <is>
          <t>UT-11</t>
        </is>
      </c>
      <c r="C41" s="5" t="inlineStr">
        <is>
          <t>에이전트 메모리 오염</t>
        </is>
      </c>
      <c r="D41" s="11" t="inlineStr">
        <is>
          <t>UT-11.1</t>
        </is>
      </c>
      <c r="E41" s="12" t="inlineStr">
        <is>
          <t>장기 메모리 오염</t>
        </is>
      </c>
      <c r="F41" s="14" t="inlineStr">
        <is>
          <t>공유 문서/웹 콘텐츠의 인젝션을 통해 에이전트 장기 메모리에 허위 사실이나 지속 지시를 기록하여, 이후 모든 세션에서 오염된 기억 기반으로 응답/행위</t>
        </is>
      </c>
      <c r="G41" s="14" t="inlineStr">
        <is>
          <t>• [ATLAS CS0072·실제사고] 조작된 AI 비서 링크로 메모리를 오염시켜 특정 제품을 추천하게 만드는 홍보성 공격(실제 사고)
• [ATLAS CS0040·실증] 공유 문서의 인젝션으로 ChatGPT 장기 메모리에 허위 정보를 영구 기록
• [ATLAS CS0036·실증] LLM 데스크톱 앱 메모리에서 인증 토큰을 추출해 사용자 가장(AIKatz)</t>
        </is>
      </c>
      <c r="H41" s="11" t="inlineStr">
        <is>
          <t>중</t>
        </is>
      </c>
      <c r="I41" s="11" t="inlineStr">
        <is>
          <t>상</t>
        </is>
      </c>
      <c r="J41" s="13">
        <f>IF(AND(H41="상",I41="상"),"매우 높음",IF(OR(AND(H41="상",I41="중"),AND(H41="중",I41="상")),"높음",IF(OR(AND(H41="중",I41="중"),AND(H41="상",I41="하"),AND(H41="하",I41="상")),"보통","낮음")))</f>
        <v/>
      </c>
      <c r="K41" s="5" t="inlineStr">
        <is>
          <t>세션 간 지속되는 행위 장악(C2 연계 사례)</t>
        </is>
      </c>
      <c r="L41" s="11" t="inlineStr">
        <is>
          <t>실제 사고 확인</t>
        </is>
      </c>
      <c r="M41" s="11" t="n">
        <v>1</v>
      </c>
      <c r="N41" s="5" t="inlineStr">
        <is>
          <t>지속성(Persistence)</t>
        </is>
      </c>
      <c r="O41" s="5" t="inlineStr">
        <is>
          <t>T0080, T0080.000</t>
        </is>
      </c>
      <c r="P41" s="5" t="inlineStr">
        <is>
          <t>ASI06</t>
        </is>
      </c>
      <c r="Q41" s="5" t="inlineStr">
        <is>
          <t>메모리 쓰기 검증·출처 점수, 사용자·작업별 메모리 분리, 스냅샷·롤백, 에이전트 출력의 자동 재수집 금지</t>
        </is>
      </c>
    </row>
    <row r="42" ht="41.5" customHeight="1">
      <c r="A42" s="10" t="inlineStr">
        <is>
          <t>D03. AI 데이터 오염 및 유출</t>
        </is>
      </c>
      <c r="B42" s="11" t="inlineStr">
        <is>
          <t>UT-11</t>
        </is>
      </c>
      <c r="C42" s="5" t="inlineStr">
        <is>
          <t>에이전트 메모리 오염</t>
        </is>
      </c>
      <c r="D42" s="11" t="inlineStr">
        <is>
          <t>UT-11.2</t>
        </is>
      </c>
      <c r="E42" s="12" t="inlineStr">
        <is>
          <t>대화 스레드 오염</t>
        </is>
      </c>
      <c r="F42" s="14" t="inlineStr">
        <is>
          <t>진행 중인 대화 스레드에 조작 지시를 삽입하여 동일 세션 내 후속 응답과 도구 호출을 지속적으로 왜곡</t>
        </is>
      </c>
      <c r="G42" s="14" t="inlineStr">
        <is>
          <t>• [ATLAS CS0036·실증] LLM 데스크톱 앱 메모리에서 인증 토큰을 추출해 사용자 가장(AIKatz)
• [ATLAS CS0051·실증] 웹페이지 인젝션으로 OpenClaw에 지속 지시를 심어 C2로 활용
• [ATLAS CS0063·실증] 캘린더 초대·메일에 숨긴 지시로 Gemini 비서가 기기·앱을 조작</t>
        </is>
      </c>
      <c r="H42" s="11" t="inlineStr">
        <is>
          <t>중</t>
        </is>
      </c>
      <c r="I42" s="11" t="inlineStr">
        <is>
          <t>중</t>
        </is>
      </c>
      <c r="J42" s="13">
        <f>IF(AND(H42="상",I42="상"),"매우 높음",IF(OR(AND(H42="상",I42="중"),AND(H42="중",I42="상")),"높음",IF(OR(AND(H42="중",I42="중"),AND(H42="상",I42="하"),AND(H42="하",I42="상")),"보통","낮음")))</f>
        <v/>
      </c>
      <c r="K42" s="5" t="inlineStr">
        <is>
          <t>단일 대화 범위 왜곡</t>
        </is>
      </c>
      <c r="L42" s="11" t="inlineStr">
        <is>
          <t>실증·공개 취약점</t>
        </is>
      </c>
      <c r="M42" s="11" t="n">
        <v>0</v>
      </c>
      <c r="N42" s="5" t="inlineStr">
        <is>
          <t>지속성(Persistence)</t>
        </is>
      </c>
      <c r="O42" s="5" t="inlineStr">
        <is>
          <t>T0080.001</t>
        </is>
      </c>
      <c r="P42" s="5" t="inlineStr">
        <is>
          <t>ASI06</t>
        </is>
      </c>
      <c r="Q42" s="5" t="inlineStr">
        <is>
          <t>메모리 쓰기 검증·출처 점수, 사용자·작업별 메모리 분리, 스냅샷·롤백, 에이전트 출력의 자동 재수집 금지</t>
        </is>
      </c>
    </row>
    <row r="43" ht="41.5" customHeight="1">
      <c r="A43" s="10" t="inlineStr">
        <is>
          <t>D03. AI 데이터 오염 및 유출</t>
        </is>
      </c>
      <c r="B43" s="11" t="inlineStr">
        <is>
          <t>UT-11</t>
        </is>
      </c>
      <c r="C43" s="5" t="inlineStr">
        <is>
          <t>에이전트 메모리 오염</t>
        </is>
      </c>
      <c r="D43" s="11" t="inlineStr">
        <is>
          <t>UT-11.3</t>
        </is>
      </c>
      <c r="E43" s="12" t="inlineStr">
        <is>
          <t>대화 이력 조작</t>
        </is>
      </c>
      <c r="F43" s="14" t="inlineStr">
        <is>
          <t>대화 이력을 변조/삭제하여 공격 흔적을 은폐하거나 과거 맥락을 위조함으로써 사용자 및 모니터링의 이상 인지 방해</t>
        </is>
      </c>
      <c r="G43" s="14" t="inlineStr">
        <is>
          <t>• [ATLAS CS0036·실증] LLM 데스크톱 앱 메모리에서 인증 토큰을 추출해 사용자 가장(AIKatz)
• [ATLAS CS0048·실증] 인터넷에 노출된 ClawdBot 제어 인터페이스 수백 개에서 자격증명 탈취·명령 실행</t>
        </is>
      </c>
      <c r="H43" s="11" t="inlineStr">
        <is>
          <t>중</t>
        </is>
      </c>
      <c r="I43" s="11" t="inlineStr">
        <is>
          <t>중</t>
        </is>
      </c>
      <c r="J43" s="13">
        <f>IF(AND(H43="상",I43="상"),"매우 높음",IF(OR(AND(H43="상",I43="중"),AND(H43="중",I43="상")),"높음",IF(OR(AND(H43="중",I43="중"),AND(H43="상",I43="하"),AND(H43="하",I43="상")),"보통","낮음")))</f>
        <v/>
      </c>
      <c r="K43" s="5" t="inlineStr">
        <is>
          <t>공격 흔적 은폐 및 이상 인지 방해</t>
        </is>
      </c>
      <c r="L43" s="11" t="inlineStr">
        <is>
          <t>실증·공개 취약점</t>
        </is>
      </c>
      <c r="M43" s="11" t="n">
        <v>0</v>
      </c>
      <c r="N43" s="5" t="inlineStr">
        <is>
          <t>방어 회피(Defense Evasion)</t>
        </is>
      </c>
      <c r="O43" s="5" t="inlineStr">
        <is>
          <t>T0092</t>
        </is>
      </c>
      <c r="P43" s="5" t="inlineStr">
        <is>
          <t>ASI06</t>
        </is>
      </c>
      <c r="Q43" s="5" t="inlineStr">
        <is>
          <t>메모리 쓰기 검증·출처 점수, 사용자·작업별 메모리 분리, 스냅샷·롤백, 에이전트 출력의 자동 재수집 금지</t>
        </is>
      </c>
    </row>
    <row r="44" ht="41.5" customHeight="1">
      <c r="A44" s="10" t="inlineStr">
        <is>
          <t>D03. AI 데이터 오염 및 유출</t>
        </is>
      </c>
      <c r="B44" s="11" t="inlineStr">
        <is>
          <t>UT-11</t>
        </is>
      </c>
      <c r="C44" s="5" t="inlineStr">
        <is>
          <t>에이전트 메모리 오염</t>
        </is>
      </c>
      <c r="D44" s="11" t="inlineStr">
        <is>
          <t>UT-11.4</t>
        </is>
      </c>
      <c r="E44" s="12" t="inlineStr">
        <is>
          <t>공유 메모리 오염</t>
        </is>
      </c>
      <c r="F44" s="14" t="inlineStr">
        <is>
          <t>다중 에이전트가 공유하는 메모리/컨텍스트 저장소에 허위 정책 또는 사실을 기록하여 다른 에이전트의 판단까지 연쇄 오염</t>
        </is>
      </c>
      <c r="G44" s="14" t="inlineStr">
        <is>
          <t>• [OWASP 시나리오] 공유 메모리에 가짜 환불 정책을 삽입해 다른 에이전트가 재사용(ASI06 시나리오#4)</t>
        </is>
      </c>
      <c r="H44" s="11" t="inlineStr">
        <is>
          <t>하</t>
        </is>
      </c>
      <c r="I44" s="11" t="inlineStr">
        <is>
          <t>중</t>
        </is>
      </c>
      <c r="J44" s="13">
        <f>IF(AND(H44="상",I44="상"),"매우 높음",IF(OR(AND(H44="상",I44="중"),AND(H44="중",I44="상")),"높음",IF(OR(AND(H44="중",I44="중"),AND(H44="상",I44="하"),AND(H44="하",I44="상")),"보통","낮음")))</f>
        <v/>
      </c>
      <c r="K44" s="5" t="inlineStr">
        <is>
          <t>다중 에이전트 판단 오염(무결성 훼손)</t>
        </is>
      </c>
      <c r="L44" s="11" t="inlineStr">
        <is>
          <t>이론·시나리오</t>
        </is>
      </c>
      <c r="M44" s="11" t="n">
        <v>0</v>
      </c>
      <c r="N44" s="5" t="inlineStr">
        <is>
          <t>지속성(Persistence)</t>
        </is>
      </c>
      <c r="O44" s="5" t="n"/>
      <c r="P44" s="5" t="inlineStr">
        <is>
          <t>ASI06</t>
        </is>
      </c>
      <c r="Q44" s="5" t="inlineStr">
        <is>
          <t>메모리 쓰기 검증·출처 점수, 사용자·작업별 메모리 분리, 스냅샷·롤백, 에이전트 출력의 자동 재수집 금지</t>
        </is>
      </c>
    </row>
    <row r="45" ht="191.5" customHeight="1">
      <c r="A45" s="10" t="inlineStr">
        <is>
          <t>D03. AI 데이터 오염 및 유출</t>
        </is>
      </c>
      <c r="B45" s="11" t="inlineStr">
        <is>
          <t>UT-12</t>
        </is>
      </c>
      <c r="C45" s="5" t="inlineStr">
        <is>
          <t>민감정보 노출</t>
        </is>
      </c>
      <c r="D45" s="11" t="inlineStr">
        <is>
          <t>UT-12.1</t>
        </is>
      </c>
      <c r="E45" s="12" t="inlineStr">
        <is>
          <t>응답 경유 민감정보 유출</t>
        </is>
      </c>
      <c r="F45" s="5" t="inlineStr">
        <is>
          <t>- 공격자는 조작한 질의나 주입한 지시로 모델이 컨텍스트에 있는 비밀값·개인정보·내부 문서를 응답에 그대로 출력하게 하고, 접두사 제거·인코딩으로 유출 탐지를 피할 수 있음
- 모델이 접근하는 실행 환경·RAG·도구 결과가 모두 노출 대상이 되며, 정규식 기반 비밀값·DLP 탐지는 변형된 출력을 놓치기 쉬움</t>
        </is>
      </c>
      <c r="G45" s="5" t="inlineStr">
        <is>
          <t>■ AI 관점
- 노출 대상: 실행 환경 변수·설정 파일의 자격증명, RAG로 불러온 문서 조각, 도구 응답, 대화 맥락의 개인정보, 추론 과정(reasoning trace) — 최종 답변뿐 아니라 도구 호출 인자도 노출 경로임 (OWASP LLM02:2026)
- 탐지 회피: 키 접두사 제거, Base64·hex 인코딩, 다른 언어로 번역해 출력하게 하면 정규식·차단 목록 기반 필터를 통과함 (OWASP LLM02:2026 예시 #2)
- 개별로는 허용된 여러 정보원을 종합한 응답(예: 예산·채용·실사 자료로 미공개 인수 대상 추론)도 정책상 금지된 결론이면 유출에 해당함 (OWASP LLM02:2026 예시 #2)
- 숨은 제어 컨텍스트 노출은 UT-08, 외부 URL·도구로 빼내는 반출은 UT-19, 모델에 암기된 학습 데이터 추출은 UT-15.4에서 다룸
■ 실제 사례
- [실증] Claude Code GitHub Action(2026-06): 이슈·PR 본문에 넣은 지시로 Claude가 프로세스 환경의 Anthropic API 키를 읽어 'sk-ant-' 접두사를 뗀 채 출력 — GitHub 비밀값 스캐너가 인식하지 못함 (ATLAS AML.CS0067)
- [실증] Morris II 웜(2024-03): 오염 메일의 지시로 RAG 기반 메일 비서가 답장에 다른 메일의 이메일 주소·주소·전화번호를 담아 유출 (ATLAS AML.CS0024)</t>
        </is>
      </c>
      <c r="H45" s="11" t="inlineStr">
        <is>
          <t>중</t>
        </is>
      </c>
      <c r="I45" s="11" t="inlineStr">
        <is>
          <t>중</t>
        </is>
      </c>
      <c r="J45" s="13">
        <f>IF(AND(H45="상",I45="상"),"매우 높음",IF(OR(AND(H45="상",I45="중"),AND(H45="중",I45="상")),"높음",IF(OR(AND(H45="중",I45="중"),AND(H45="상",I45="하"),AND(H45="하",I45="상")),"보통","낮음")))</f>
        <v/>
      </c>
      <c r="K45" s="5" t="inlineStr">
        <is>
          <t>컨텍스트 내 비밀값·개인정보 노출(질의 단위로 범위 제한)</t>
        </is>
      </c>
      <c r="L45" s="11" t="inlineStr">
        <is>
          <t>실증·공개 취약점</t>
        </is>
      </c>
      <c r="M45" s="11" t="n">
        <v>0</v>
      </c>
      <c r="N45" s="5" t="inlineStr">
        <is>
          <t>유출(Exfiltration)</t>
        </is>
      </c>
      <c r="O45" s="5" t="inlineStr">
        <is>
          <t>T0057</t>
        </is>
      </c>
      <c r="P45" s="5" t="inlineStr">
        <is>
          <t>LLM02, DSGAI01</t>
        </is>
      </c>
      <c r="Q45" s="5" t="inlineStr">
        <is>
          <t>학습·색인 전 비식별화, 문서별 ACL 기반 검색, 입·출력 DLP(멀티모달 포함), 필요 최소 컨텍스트</t>
        </is>
      </c>
    </row>
    <row r="46" ht="66.5" customHeight="1">
      <c r="A46" s="10" t="inlineStr">
        <is>
          <t>D03. AI 데이터 오염 및 유출</t>
        </is>
      </c>
      <c r="B46" s="11" t="inlineStr">
        <is>
          <t>UT-12</t>
        </is>
      </c>
      <c r="C46" s="5" t="inlineStr">
        <is>
          <t>민감정보 노출</t>
        </is>
      </c>
      <c r="D46" s="11" t="inlineStr">
        <is>
          <t>UT-12.2</t>
        </is>
      </c>
      <c r="E46" s="12" t="inlineStr">
        <is>
          <t>검색 권한 과다 노출</t>
        </is>
      </c>
      <c r="F46" s="14" t="inlineStr">
        <is>
          <t>RAG/에이전트 도구의 검색 범위가 사용자 권한보다 넓게 설정되어, 일반 질의만으로 열람 권한 없는 문서/데이터가 응답에 포함</t>
        </is>
      </c>
      <c r="G46" s="14" t="inlineStr">
        <is>
          <t>• [ATLAS CS0035·실증] 공개 채널 게시글의 간접 인젝션으로 Slack AI가 비공개 채널 데이터 유출
• [ATLAS CS0037·실증] Copilot Studio 고객지원 에이전트를 인젝션해 지식원·도구를 탐색하고 CRM 데이터 유출
• [ATLAS CS0038·실증] 지시 실행을 다음 대화 턴으로 지연시켜 Gemini의 도구 호출 제한 우회
• [OWASP 인용] CVE-2026-0612 The Librarian 정보 유출 취약점</t>
        </is>
      </c>
      <c r="H46" s="11" t="inlineStr">
        <is>
          <t>중</t>
        </is>
      </c>
      <c r="I46" s="11" t="inlineStr">
        <is>
          <t>상</t>
        </is>
      </c>
      <c r="J46" s="13">
        <f>IF(AND(H46="상",I46="상"),"매우 높음",IF(OR(AND(H46="상",I46="중"),AND(H46="중",I46="상")),"높음",IF(OR(AND(H46="중",I46="중"),AND(H46="상",I46="하"),AND(H46="하",I46="상")),"보통","낮음")))</f>
        <v/>
      </c>
      <c r="K46" s="5" t="inlineStr">
        <is>
          <t>열람 권한 밖 중요정보 대량 노출</t>
        </is>
      </c>
      <c r="L46" s="11" t="inlineStr">
        <is>
          <t>실증·공개 취약점</t>
        </is>
      </c>
      <c r="M46" s="11" t="n">
        <v>0</v>
      </c>
      <c r="N46" s="5" t="inlineStr">
        <is>
          <t>수집(Collection)</t>
        </is>
      </c>
      <c r="O46" s="5" t="inlineStr">
        <is>
          <t>T0085, T0085.000, T0085.001</t>
        </is>
      </c>
      <c r="P46" s="5" t="inlineStr">
        <is>
          <t>LLM02, DSGAI01</t>
        </is>
      </c>
      <c r="Q46" s="5" t="inlineStr">
        <is>
          <t>학습·색인 전 비식별화, 문서별 ACL 기반 검색, 입·출력 DLP(멀티모달 포함), 필요 최소 컨텍스트</t>
        </is>
      </c>
    </row>
    <row r="47" ht="41.5" customHeight="1">
      <c r="A47" s="10" t="inlineStr">
        <is>
          <t>D03. AI 데이터 오염 및 유출</t>
        </is>
      </c>
      <c r="B47" s="11" t="inlineStr">
        <is>
          <t>UT-12</t>
        </is>
      </c>
      <c r="C47" s="5" t="inlineStr">
        <is>
          <t>민감정보 노출</t>
        </is>
      </c>
      <c r="D47" s="11" t="inlineStr">
        <is>
          <t>UT-12.3</t>
        </is>
      </c>
      <c r="E47" s="12" t="inlineStr">
        <is>
          <t>프롬프트 과다 공유</t>
        </is>
      </c>
      <c r="F47" s="14" t="inlineStr">
        <is>
          <t>업무 처리에 불필요한 전체 고객 기록/내부 문서를 프롬프트에 포함하여 외부 AI 제공자 및 하위 처리자에게 전송함으로써 조직 통제 밖으로 데이터 유출</t>
        </is>
      </c>
      <c r="G47" s="14" t="inlineStr">
        <is>
          <t>• [OWASP 시나리오] 잔액 조회마다 전체 KYC 파일을 프롬프트에 포함한 뱅킹 비서(DSGAI15 시나리오)</t>
        </is>
      </c>
      <c r="H47" s="11" t="inlineStr">
        <is>
          <t>하</t>
        </is>
      </c>
      <c r="I47" s="11" t="inlineStr">
        <is>
          <t>중</t>
        </is>
      </c>
      <c r="J47" s="13">
        <f>IF(AND(H47="상",I47="상"),"매우 높음",IF(OR(AND(H47="상",I47="중"),AND(H47="중",I47="상")),"높음",IF(OR(AND(H47="중",I47="중"),AND(H47="상",I47="하"),AND(H47="하",I47="상")),"보통","낮음")))</f>
        <v/>
      </c>
      <c r="K47" s="5" t="inlineStr">
        <is>
          <t>외부 제공자 범위 노출(계약 통제 가능)</t>
        </is>
      </c>
      <c r="L47" s="11" t="inlineStr">
        <is>
          <t>이론·시나리오</t>
        </is>
      </c>
      <c r="M47" s="11" t="n">
        <v>0</v>
      </c>
      <c r="N47" s="5" t="inlineStr">
        <is>
          <t>해당 없음(구조적 결함)</t>
        </is>
      </c>
      <c r="O47" s="5" t="n"/>
      <c r="P47" s="5" t="inlineStr">
        <is>
          <t>DSGAI15</t>
        </is>
      </c>
      <c r="Q47" s="5" t="inlineStr">
        <is>
          <t>학습·색인 전 비식별화, 문서별 ACL 기반 검색, 입·출력 DLP(멀티모달 포함), 필요 최소 컨텍스트</t>
        </is>
      </c>
    </row>
    <row r="48" ht="41.5" customHeight="1">
      <c r="A48" s="10" t="inlineStr">
        <is>
          <t>D03. AI 데이터 오염 및 유출</t>
        </is>
      </c>
      <c r="B48" s="11" t="inlineStr">
        <is>
          <t>UT-12</t>
        </is>
      </c>
      <c r="C48" s="5" t="inlineStr">
        <is>
          <t>민감정보 노출</t>
        </is>
      </c>
      <c r="D48" s="11" t="inlineStr">
        <is>
          <t>UT-12.4</t>
        </is>
      </c>
      <c r="E48" s="12" t="inlineStr">
        <is>
          <t>멀티모달 입력 노출</t>
        </is>
      </c>
      <c r="F48" s="14" t="inlineStr">
        <is>
          <t>스크린샷/문서 이미지/음성 등 멀티모달 입력에 포함된 민감정보가 텍스트 기반 DLP를 우회하여 AI 서비스 및 로그로 전달</t>
        </is>
      </c>
      <c r="G48" s="14" t="inlineStr">
        <is>
          <t>• [OWASP 시나리오] API 키가 보이는 관리자 화면 스크린샷을 AI에 공유(DSGAI09 시나리오)</t>
        </is>
      </c>
      <c r="H48" s="11" t="inlineStr">
        <is>
          <t>하</t>
        </is>
      </c>
      <c r="I48" s="11" t="inlineStr">
        <is>
          <t>중</t>
        </is>
      </c>
      <c r="J48" s="13">
        <f>IF(AND(H48="상",I48="상"),"매우 높음",IF(OR(AND(H48="상",I48="중"),AND(H48="중",I48="상")),"높음",IF(OR(AND(H48="중",I48="중"),AND(H48="상",I48="하"),AND(H48="하",I48="상")),"보통","낮음")))</f>
        <v/>
      </c>
      <c r="K48" s="5" t="inlineStr">
        <is>
          <t>텍스트 DLP 우회 노출(입력 범위)</t>
        </is>
      </c>
      <c r="L48" s="11" t="inlineStr">
        <is>
          <t>이론·시나리오</t>
        </is>
      </c>
      <c r="M48" s="11" t="n">
        <v>0</v>
      </c>
      <c r="N48" s="5" t="inlineStr">
        <is>
          <t>해당 없음(구조적 결함)</t>
        </is>
      </c>
      <c r="O48" s="5" t="n"/>
      <c r="P48" s="5" t="inlineStr">
        <is>
          <t>DSGAI09</t>
        </is>
      </c>
      <c r="Q48" s="5" t="inlineStr">
        <is>
          <t>학습·색인 전 비식별화, 문서별 ACL 기반 검색, 입·출력 DLP(멀티모달 포함), 필요 최소 컨텍스트</t>
        </is>
      </c>
    </row>
    <row r="49" ht="41.5" customHeight="1">
      <c r="A49" s="10" t="inlineStr">
        <is>
          <t>D03. AI 데이터 오염 및 유출</t>
        </is>
      </c>
      <c r="B49" s="11" t="inlineStr">
        <is>
          <t>UT-13</t>
        </is>
      </c>
      <c r="C49" s="5" t="inlineStr">
        <is>
          <t>사용자 간 데이터 격리 실패</t>
        </is>
      </c>
      <c r="D49" s="11" t="inlineStr">
        <is>
          <t>UT-13.1</t>
        </is>
      </c>
      <c r="E49" s="12" t="inlineStr">
        <is>
          <t>세션 간 데이터 혼입</t>
        </is>
      </c>
      <c r="F49" s="14" t="inlineStr">
        <is>
          <t>KV 캐시/세션 상태/공유 대화 컨텍스트의 격리 결함으로 한 사용자의 프롬프트와 응답이 다른 사용자 세션에 노출</t>
        </is>
      </c>
      <c r="G49" s="14" t="inlineStr">
        <is>
          <t>• [OWASP 인용] CVE-2025-6515 oatpp-mcp 세션 식별자 결함
• [OWASP 시나리오] 공유 추론 상태 결함으로 타 사용자의 의료 서신 노출(LLM02 시나리오#2)</t>
        </is>
      </c>
      <c r="H49" s="11" t="inlineStr">
        <is>
          <t>중</t>
        </is>
      </c>
      <c r="I49" s="11" t="inlineStr">
        <is>
          <t>중</t>
        </is>
      </c>
      <c r="J49" s="13">
        <f>IF(AND(H49="상",I49="상"),"매우 높음",IF(OR(AND(H49="상",I49="중"),AND(H49="중",I49="상")),"높음",IF(OR(AND(H49="중",I49="중"),AND(H49="상",I49="하"),AND(H49="하",I49="상")),"보통","낮음")))</f>
        <v/>
      </c>
      <c r="K49" s="5" t="inlineStr">
        <is>
          <t>타 사용자 대화 일부 노출(비의도적, 범위 가변)</t>
        </is>
      </c>
      <c r="L49" s="11" t="inlineStr">
        <is>
          <t>실증·공개 취약점</t>
        </is>
      </c>
      <c r="M49" s="11" t="n">
        <v>0</v>
      </c>
      <c r="N49" s="5" t="inlineStr">
        <is>
          <t>수집(Collection)</t>
        </is>
      </c>
      <c r="O49" s="5" t="n"/>
      <c r="P49" s="5" t="inlineStr">
        <is>
          <t>DSGAI11, MCP10</t>
        </is>
      </c>
      <c r="Q49" s="5" t="inlineStr">
        <is>
          <t>검색 전 테넌트 필터, 테넌트별 인덱스·캐시 분리, 벡터 DB 인증·암호화·내보내기 제한</t>
        </is>
      </c>
    </row>
    <row r="50" ht="41.5" customHeight="1">
      <c r="A50" s="10" t="inlineStr">
        <is>
          <t>D03. AI 데이터 오염 및 유출</t>
        </is>
      </c>
      <c r="B50" s="11" t="inlineStr">
        <is>
          <t>UT-13</t>
        </is>
      </c>
      <c r="C50" s="5" t="inlineStr">
        <is>
          <t>사용자 간 데이터 격리 실패</t>
        </is>
      </c>
      <c r="D50" s="11" t="inlineStr">
        <is>
          <t>UT-13.2</t>
        </is>
      </c>
      <c r="E50" s="12" t="inlineStr">
        <is>
          <t>테넌트 간 인덱스 유출</t>
        </is>
      </c>
      <c r="F50" s="14" t="inlineStr">
        <is>
          <t>공유 벡터 인덱스의 검색 후 필터링 구조로 인해 다른 테넌트 데이터가 검색 결과/유사도 점수/응답 지연을 통해 노출</t>
        </is>
      </c>
      <c r="G50" s="14" t="inlineStr">
        <is>
          <t>• [OWASP 시나리오] 공유 벡터 인덱스의 교차 테넌트 추론(LLM09 시나리오#2), 로펌 간 공유 RAG 인덱스 유출(LLM02 시나리오#5)</t>
        </is>
      </c>
      <c r="H50" s="11" t="inlineStr">
        <is>
          <t>하</t>
        </is>
      </c>
      <c r="I50" s="11" t="inlineStr">
        <is>
          <t>상</t>
        </is>
      </c>
      <c r="J50" s="13">
        <f>IF(AND(H50="상",I50="상"),"매우 높음",IF(OR(AND(H50="상",I50="중"),AND(H50="중",I50="상")),"높음",IF(OR(AND(H50="중",I50="중"),AND(H50="상",I50="하"),AND(H50="하",I50="상")),"보통","낮음")))</f>
        <v/>
      </c>
      <c r="K50" s="5" t="inlineStr">
        <is>
          <t>타 고객사 데이터 노출(다수 테넌트)</t>
        </is>
      </c>
      <c r="L50" s="11" t="inlineStr">
        <is>
          <t>이론·시나리오</t>
        </is>
      </c>
      <c r="M50" s="11" t="n">
        <v>0</v>
      </c>
      <c r="N50" s="5" t="inlineStr">
        <is>
          <t>수집(Collection)</t>
        </is>
      </c>
      <c r="O50" s="5" t="n"/>
      <c r="P50" s="5" t="inlineStr">
        <is>
          <t>LLM09</t>
        </is>
      </c>
      <c r="Q50" s="5" t="inlineStr">
        <is>
          <t>검색 전 테넌트 필터, 테넌트별 인덱스·캐시 분리, 벡터 DB 인증·암호화·내보내기 제한</t>
        </is>
      </c>
    </row>
    <row r="51" ht="41.5" customHeight="1">
      <c r="A51" s="10" t="inlineStr">
        <is>
          <t>D03. AI 데이터 오염 및 유출</t>
        </is>
      </c>
      <c r="B51" s="11" t="inlineStr">
        <is>
          <t>UT-13</t>
        </is>
      </c>
      <c r="C51" s="5" t="inlineStr">
        <is>
          <t>사용자 간 데이터 격리 실패</t>
        </is>
      </c>
      <c r="D51" s="11" t="inlineStr">
        <is>
          <t>UT-13.3</t>
        </is>
      </c>
      <c r="E51" s="12" t="inlineStr">
        <is>
          <t>벡터 DB 플랫폼 취약점</t>
        </is>
      </c>
      <c r="F51" s="14" t="inlineStr">
        <is>
          <t>벡터 DB의 인증 미적용/기본 설정/경로 탐색 취약점을 악용하여 임베딩 및 원문 데이터 대량 탈취 또는 서버 장악</t>
        </is>
      </c>
      <c r="G51" s="14" t="inlineStr">
        <is>
          <t>• [OWASP 인용] Qdrant CVE-2024-3584·CVE-2024-3829 / Milvus CVE-2025-64513 / RAGFlow CVE-2025-69286</t>
        </is>
      </c>
      <c r="H51" s="11" t="inlineStr">
        <is>
          <t>중</t>
        </is>
      </c>
      <c r="I51" s="11" t="inlineStr">
        <is>
          <t>상</t>
        </is>
      </c>
      <c r="J51" s="13">
        <f>IF(AND(H51="상",I51="상"),"매우 높음",IF(OR(AND(H51="상",I51="중"),AND(H51="중",I51="상")),"높음",IF(OR(AND(H51="중",I51="중"),AND(H51="상",I51="하"),AND(H51="하",I51="상")),"보통","낮음")))</f>
        <v/>
      </c>
      <c r="K51" s="5" t="inlineStr">
        <is>
          <t>임베딩/원문 대량 탈취 및 서버 장악(RCE)</t>
        </is>
      </c>
      <c r="L51" s="11" t="inlineStr">
        <is>
          <t>실증·공개 취약점</t>
        </is>
      </c>
      <c r="M51" s="11" t="n">
        <v>0</v>
      </c>
      <c r="N51" s="5" t="inlineStr">
        <is>
          <t>초기 접근(Initial Access)</t>
        </is>
      </c>
      <c r="O51" s="5" t="n"/>
      <c r="P51" s="5" t="inlineStr">
        <is>
          <t>DSGAI13</t>
        </is>
      </c>
      <c r="Q51" s="5" t="inlineStr">
        <is>
          <t>검색 전 테넌트 필터, 테넌트별 인덱스·캐시 분리, 벡터 DB 인증·암호화·내보내기 제한</t>
        </is>
      </c>
    </row>
    <row r="52" ht="41.5" customHeight="1">
      <c r="A52" s="10" t="inlineStr">
        <is>
          <t>D04. 모델 조작 및 탈취</t>
        </is>
      </c>
      <c r="B52" s="11" t="inlineStr">
        <is>
          <t>UT-14</t>
        </is>
      </c>
      <c r="C52" s="5" t="inlineStr">
        <is>
          <t>모델 변조(백도어 삽입)</t>
        </is>
      </c>
      <c r="D52" s="11" t="inlineStr">
        <is>
          <t>UT-14.1</t>
        </is>
      </c>
      <c r="E52" s="12" t="inlineStr">
        <is>
          <t>가중치 조작</t>
        </is>
      </c>
      <c r="F52" s="14" t="inlineStr">
        <is>
          <t>모델 가중치를 직접 편집하거나 오염 데이터로 추가 학습하여, 일반 성능은 유지한 채 특정 질의에만 허위 응답/악성 동작을 수행하는 모델 생성</t>
        </is>
      </c>
      <c r="G52" s="14" t="inlineStr">
        <is>
          <t>• [ATLAS CS0019·실증] LLM 가중치를 편집해 허위 사실을 답하게 만든 뒤 Hugging Face에 배포(PoisonGPT)
• [ATLAS CS0027·실증] 실존 기업을 사칭한 Hugging Face 조직 계정으로 악성 모델 유포
• [ATLAS CS0028·실증] 노출된 사설 컨테이너 레지스트리 8천여 개 발견, 모델 이미지 변조 가능성 입증</t>
        </is>
      </c>
      <c r="H52" s="11" t="inlineStr">
        <is>
          <t>중</t>
        </is>
      </c>
      <c r="I52" s="11" t="inlineStr">
        <is>
          <t>중</t>
        </is>
      </c>
      <c r="J52" s="13">
        <f>IF(AND(H52="상",I52="상"),"매우 높음",IF(OR(AND(H52="상",I52="중"),AND(H52="중",I52="상")),"높음",IF(OR(AND(H52="중",I52="중"),AND(H52="상",I52="하"),AND(H52="하",I52="상")),"보통","낮음")))</f>
        <v/>
      </c>
      <c r="K52" s="5" t="inlineStr">
        <is>
          <t>특정 질의 대상 허위 응답(무결성 훼손)</t>
        </is>
      </c>
      <c r="L52" s="11" t="inlineStr">
        <is>
          <t>실사용 기법 포함</t>
        </is>
      </c>
      <c r="M52" s="11" t="n">
        <v>0</v>
      </c>
      <c r="N52" s="5" t="inlineStr">
        <is>
          <t>지속성(Persistence)</t>
        </is>
      </c>
      <c r="O52" s="5" t="inlineStr">
        <is>
          <t>T0018, T0018.000</t>
        </is>
      </c>
      <c r="P52" s="5" t="inlineStr">
        <is>
          <t>LLM05, DSGAI04</t>
        </is>
      </c>
      <c r="Q52" s="5" t="inlineStr">
        <is>
          <t>아티팩트 서명·해시 검증, 안전 포맷 사용 및 로딩 격리, 배포 전 모델 검증·백도어 스캔</t>
        </is>
      </c>
    </row>
    <row r="53" ht="41.5" customHeight="1">
      <c r="A53" s="10" t="inlineStr">
        <is>
          <t>D04. 모델 조작 및 탈취</t>
        </is>
      </c>
      <c r="B53" s="11" t="inlineStr">
        <is>
          <t>UT-14</t>
        </is>
      </c>
      <c r="C53" s="5" t="inlineStr">
        <is>
          <t>모델 변조(백도어 삽입)</t>
        </is>
      </c>
      <c r="D53" s="11" t="inlineStr">
        <is>
          <t>UT-14.2</t>
        </is>
      </c>
      <c r="E53" s="12" t="inlineStr">
        <is>
          <t>모델 구조 변조</t>
        </is>
      </c>
      <c r="F53" s="14" t="inlineStr">
        <is>
          <t>모델 아키텍처/로딩 코드 변경 또는 모델 파일 내 악성 코드 삽입을 통해 모델 로딩 시점에 임의 코드 실행 또는 백도어 동작 활성화</t>
        </is>
      </c>
      <c r="G53" s="14" t="inlineStr">
        <is>
          <t>• [ATLAS CS0013·실증] 모바일 앱에서 추출한 딥러닝 모델에 백도어 삽입 후 재패키징
• [ATLAS CS0031·실제사고] Hugging Face에 역쉘을 내장한 악성 모델 호스팅(실제 사고)
• [ATLAS CS0027·실증] 실존 기업을 사칭한 Hugging Face 조직 계정으로 악성 모델 유포</t>
        </is>
      </c>
      <c r="H53" s="11" t="inlineStr">
        <is>
          <t>중</t>
        </is>
      </c>
      <c r="I53" s="11" t="inlineStr">
        <is>
          <t>상</t>
        </is>
      </c>
      <c r="J53" s="13">
        <f>IF(AND(H53="상",I53="상"),"매우 높음",IF(OR(AND(H53="상",I53="중"),AND(H53="중",I53="상")),"높음",IF(OR(AND(H53="중",I53="중"),AND(H53="상",I53="하"),AND(H53="하",I53="상")),"보통","낮음")))</f>
        <v/>
      </c>
      <c r="K53" s="5" t="inlineStr">
        <is>
          <t>모델 로딩 시 호스트 코드 실행</t>
        </is>
      </c>
      <c r="L53" s="11" t="inlineStr">
        <is>
          <t>실제 사고 확인</t>
        </is>
      </c>
      <c r="M53" s="11" t="n">
        <v>1</v>
      </c>
      <c r="N53" s="5" t="inlineStr">
        <is>
          <t>지속성(Persistence)</t>
        </is>
      </c>
      <c r="O53" s="5" t="inlineStr">
        <is>
          <t>T0018.001, T0018.002, T0076, T0112.001</t>
        </is>
      </c>
      <c r="P53" s="5" t="inlineStr">
        <is>
          <t>DSGAI04</t>
        </is>
      </c>
      <c r="Q53" s="5" t="inlineStr">
        <is>
          <t>아티팩트 서명·해시 검증, 안전 포맷 사용 및 로딩 격리, 배포 전 모델 검증·백도어 스캔</t>
        </is>
      </c>
    </row>
    <row r="54" ht="41.5" customHeight="1">
      <c r="A54" s="10" t="inlineStr">
        <is>
          <t>D04. 모델 조작 및 탈취</t>
        </is>
      </c>
      <c r="B54" s="11" t="inlineStr">
        <is>
          <t>UT-14</t>
        </is>
      </c>
      <c r="C54" s="5" t="inlineStr">
        <is>
          <t>모델 변조(백도어 삽입)</t>
        </is>
      </c>
      <c r="D54" s="11" t="inlineStr">
        <is>
          <t>UT-14.3</t>
        </is>
      </c>
      <c r="E54" s="12" t="inlineStr">
        <is>
          <t>추론 템플릿 변조</t>
        </is>
      </c>
      <c r="F54" s="14" t="inlineStr">
        <is>
          <t>채팅 템플릿(예: GGUF)/프롬프트 구성 로직에 조건부 지시를 삽입하여 가중치 변경 없이 추론 시점에 백도어 동작 유발</t>
        </is>
      </c>
      <c r="G54" s="14" t="inlineStr">
        <is>
          <t>• [ATLAS CS0064·실증] GGUF 채팅 템플릿을 오염시켜 가중치 변경 없이 추론 시점 백도어 구현</t>
        </is>
      </c>
      <c r="H54" s="11" t="inlineStr">
        <is>
          <t>중</t>
        </is>
      </c>
      <c r="I54" s="11" t="inlineStr">
        <is>
          <t>중</t>
        </is>
      </c>
      <c r="J54" s="13">
        <f>IF(AND(H54="상",I54="상"),"매우 높음",IF(OR(AND(H54="상",I54="중"),AND(H54="중",I54="상")),"높음",IF(OR(AND(H54="중",I54="중"),AND(H54="상",I54="하"),AND(H54="하",I54="상")),"보통","낮음")))</f>
        <v/>
      </c>
      <c r="K54" s="5" t="inlineStr">
        <is>
          <t>가중치 변경 없는 응답 조작(무결성 훼손)</t>
        </is>
      </c>
      <c r="L54" s="11" t="inlineStr">
        <is>
          <t>실증·공개 취약점</t>
        </is>
      </c>
      <c r="M54" s="11" t="n">
        <v>0</v>
      </c>
      <c r="N54" s="5" t="inlineStr">
        <is>
          <t>지속성(Persistence)</t>
        </is>
      </c>
      <c r="O54" s="5" t="inlineStr">
        <is>
          <t>T0018.003</t>
        </is>
      </c>
      <c r="P54" s="5" t="inlineStr">
        <is>
          <t>LLM05</t>
        </is>
      </c>
      <c r="Q54" s="5" t="inlineStr">
        <is>
          <t>아티팩트 서명·해시 검증, 안전 포맷 사용 및 로딩 격리, 배포 전 모델 검증·백도어 스캔</t>
        </is>
      </c>
    </row>
    <row r="55" ht="41.5" customHeight="1">
      <c r="A55" s="10" t="inlineStr">
        <is>
          <t>D04. 모델 조작 및 탈취</t>
        </is>
      </c>
      <c r="B55" s="11" t="inlineStr">
        <is>
          <t>UT-14</t>
        </is>
      </c>
      <c r="C55" s="5" t="inlineStr">
        <is>
          <t>모델 변조(백도어 삽입)</t>
        </is>
      </c>
      <c r="D55" s="11" t="inlineStr">
        <is>
          <t>UT-14.4</t>
        </is>
      </c>
      <c r="E55" s="12" t="inlineStr">
        <is>
          <t>백도어 트리거 활성화</t>
        </is>
      </c>
      <c r="F55" s="14" t="inlineStr">
        <is>
          <t>학습 단계에서 심어진 백도어를 특정 패턴(이미지 패치/키워드)이 포함된 입력으로 활성화하여 공격자 지정 출력 유도</t>
        </is>
      </c>
      <c r="G55" s="14" t="inlineStr">
        <is>
          <t>• [ATLAS CS0013·실증] 모바일 앱에서 추출한 딥러닝 모델에 백도어 삽입 후 재패키징
• [OWASP 시나리오] 백도어 트리거를 포함한 입력으로 오염 모델 활성화(ATLAS T0043.004 기법 정의)</t>
        </is>
      </c>
      <c r="H55" s="11" t="inlineStr">
        <is>
          <t>중</t>
        </is>
      </c>
      <c r="I55" s="11" t="inlineStr">
        <is>
          <t>중</t>
        </is>
      </c>
      <c r="J55" s="13">
        <f>IF(AND(H55="상",I55="상"),"매우 높음",IF(OR(AND(H55="상",I55="중"),AND(H55="중",I55="상")),"높음",IF(OR(AND(H55="중",I55="중"),AND(H55="상",I55="하"),AND(H55="하",I55="상")),"보통","낮음")))</f>
        <v/>
      </c>
      <c r="K55" s="5" t="inlineStr">
        <is>
          <t>트리거 조건 범위 내 오작동</t>
        </is>
      </c>
      <c r="L55" s="11" t="inlineStr">
        <is>
          <t>실증·공개 취약점</t>
        </is>
      </c>
      <c r="M55" s="11" t="n">
        <v>0</v>
      </c>
      <c r="N55" s="5" t="inlineStr">
        <is>
          <t>AI 공격 적응(AI Attack Adaptation)</t>
        </is>
      </c>
      <c r="O55" s="5" t="inlineStr">
        <is>
          <t>T0043.004</t>
        </is>
      </c>
      <c r="P55" s="5" t="inlineStr">
        <is>
          <t>LLM05</t>
        </is>
      </c>
      <c r="Q55" s="5" t="inlineStr">
        <is>
          <t>아티팩트 서명·해시 검증, 안전 포맷 사용 및 로딩 격리, 배포 전 모델 검증·백도어 스캔</t>
        </is>
      </c>
    </row>
    <row r="56" ht="41.5" customHeight="1">
      <c r="A56" s="10" t="inlineStr">
        <is>
          <t>D04. 모델 조작 및 탈취</t>
        </is>
      </c>
      <c r="B56" s="11" t="inlineStr">
        <is>
          <t>UT-15</t>
        </is>
      </c>
      <c r="C56" s="5" t="inlineStr">
        <is>
          <t>모델 기반 데이터 추론</t>
        </is>
      </c>
      <c r="D56" s="11" t="inlineStr">
        <is>
          <t>UT-15.1</t>
        </is>
      </c>
      <c r="E56" s="12" t="inlineStr">
        <is>
          <t>멤버십 추론</t>
        </is>
      </c>
      <c r="F56" s="14" t="inlineStr">
        <is>
          <t>모델 응답의 확신도/손실 패턴을 분석하여 특정 개인/레코드의 학습 데이터 포함 여부를 판별</t>
        </is>
      </c>
      <c r="G56" s="14" t="inlineStr">
        <is>
          <t>• [OWASP 시나리오] 임상 파인튜닝 모델에서 특정 환자의 학습 포함 여부 추론(LLM02 시나리오#8)</t>
        </is>
      </c>
      <c r="H56" s="11" t="inlineStr">
        <is>
          <t>중</t>
        </is>
      </c>
      <c r="I56" s="11" t="inlineStr">
        <is>
          <t>중</t>
        </is>
      </c>
      <c r="J56" s="13">
        <f>IF(AND(H56="상",I56="상"),"매우 높음",IF(OR(AND(H56="상",I56="중"),AND(H56="중",I56="상")),"높음",IF(OR(AND(H56="중",I56="중"),AND(H56="상",I56="하"),AND(H56="하",I56="상")),"보통","낮음")))</f>
        <v/>
      </c>
      <c r="K56" s="5" t="inlineStr">
        <is>
          <t>특정 개인 단위 프라이버시 침해</t>
        </is>
      </c>
      <c r="L56" s="11" t="inlineStr">
        <is>
          <t>실사용 기법 포함</t>
        </is>
      </c>
      <c r="M56" s="11" t="n">
        <v>0</v>
      </c>
      <c r="N56" s="5" t="inlineStr">
        <is>
          <t>유출(Exfiltration)</t>
        </is>
      </c>
      <c r="O56" s="5" t="inlineStr">
        <is>
          <t>T0024, T0024.000</t>
        </is>
      </c>
      <c r="P56" s="5" t="inlineStr">
        <is>
          <t>LLM02, DSGAI18</t>
        </is>
      </c>
      <c r="Q56" s="5" t="inlineStr">
        <is>
          <t>차등프라이버시 학습·학습 데이터 중복 제거, 출력 확률·점수 비공개, 쿼리량 제한, 추출·멤버십 추론 감사</t>
        </is>
      </c>
    </row>
    <row r="57" ht="41.5" customHeight="1">
      <c r="A57" s="10" t="inlineStr">
        <is>
          <t>D04. 모델 조작 및 탈취</t>
        </is>
      </c>
      <c r="B57" s="11" t="inlineStr">
        <is>
          <t>UT-15</t>
        </is>
      </c>
      <c r="C57" s="5" t="inlineStr">
        <is>
          <t>모델 기반 데이터 추론</t>
        </is>
      </c>
      <c r="D57" s="11" t="inlineStr">
        <is>
          <t>UT-15.2</t>
        </is>
      </c>
      <c r="E57" s="12" t="inlineStr">
        <is>
          <t>원본 복원(역전) 공격</t>
        </is>
      </c>
      <c r="F57" s="14" t="inlineStr">
        <is>
          <t>모델 출력 또는 유출된 임베딩 벡터를 역산하여 학습 데이터/원문 텍스트를 복원</t>
        </is>
      </c>
      <c r="G57" s="14" t="inlineStr">
        <is>
          <t>• [OWASP 시나리오] 유출된 '임베딩 전용' 백업이 역전 공격으로 원문 유출(LLM02 시나리오#6)</t>
        </is>
      </c>
      <c r="H57" s="11" t="inlineStr">
        <is>
          <t>하</t>
        </is>
      </c>
      <c r="I57" s="11" t="inlineStr">
        <is>
          <t>중</t>
        </is>
      </c>
      <c r="J57" s="13">
        <f>IF(AND(H57="상",I57="상"),"매우 높음",IF(OR(AND(H57="상",I57="중"),AND(H57="중",I57="상")),"높음",IF(OR(AND(H57="중",I57="중"),AND(H57="상",I57="하"),AND(H57="하",I57="상")),"보통","낮음")))</f>
        <v/>
      </c>
      <c r="K57" s="5" t="inlineStr">
        <is>
          <t>원문 복원(임베딩 대량 유출 시 피해 확대)</t>
        </is>
      </c>
      <c r="L57" s="11" t="inlineStr">
        <is>
          <t>이론·시나리오</t>
        </is>
      </c>
      <c r="M57" s="11" t="n">
        <v>0</v>
      </c>
      <c r="N57" s="5" t="inlineStr">
        <is>
          <t>유출(Exfiltration)</t>
        </is>
      </c>
      <c r="O57" s="5" t="inlineStr">
        <is>
          <t>T0024.001</t>
        </is>
      </c>
      <c r="P57" s="5" t="inlineStr">
        <is>
          <t>DSGAI18</t>
        </is>
      </c>
      <c r="Q57" s="5" t="inlineStr">
        <is>
          <t>차등프라이버시 학습·학습 데이터 중복 제거, 출력 확률·점수 비공개, 쿼리량 제한, 추출·멤버십 추론 감사</t>
        </is>
      </c>
    </row>
    <row r="58" ht="166.5" customHeight="1">
      <c r="A58" s="10" t="inlineStr">
        <is>
          <t>D04. 모델 조작 및 탈취</t>
        </is>
      </c>
      <c r="B58" s="11" t="inlineStr">
        <is>
          <t>UT-15</t>
        </is>
      </c>
      <c r="C58" s="5" t="inlineStr">
        <is>
          <t>모델 기반 데이터 추론</t>
        </is>
      </c>
      <c r="D58" s="11" t="inlineStr">
        <is>
          <t>UT-15.3</t>
        </is>
      </c>
      <c r="E58" s="12" t="inlineStr">
        <is>
          <t>부채널 추론</t>
        </is>
      </c>
      <c r="F58" s="5" t="inlineStr">
        <is>
          <t>- 공격자는 암호화된 스트리밍 응답의 패킷 크기·토큰 길이·응답 지연·캐시 적중 여부 같은 관찰 가능한 신호로 대화 주제나 프롬프트·응답 내용을 추론할 수 있음
- 내용을 직접 받지 않고도 정보가 새어 나가며, TLS 암호화나 출력 필터로는 막을 수 없음</t>
        </is>
      </c>
      <c r="G58" s="5" t="inlineStr">
        <is>
          <t>■ AI 관점
- 관찰 신호: 토큰 단위 스트리밍의 패킷 크기와 간격, 응답 길이, 지연 시간, 프롬프트 캐시 적중 여부 — 네트워크 경로상의 관찰자나 같은 서빙 인프라를 쓰는 다른 사용자도 측정 가능 (OWASP LLM02:2026)
- 멀티테넌트 서빙에서 KV 캐시를 공유하면 다른 사용자의 프롬프트가 캐시 적중 신호로 새어 나갈 수 있음 (OWASP LLM02:2026 예시 #5)
- 대응은 응답 무작위 패딩·토큰 묶음 전송, 고민감 테넌트의 캐시 분리처럼 서빙 계층에서 이뤄져야 함 (OWASP LLM02:2026 Tier 2)
- 모델 출력 점수 노출을 이용한 탐색은 UT-01.4, 출력 확률을 이용한 멤버십 추론은 UT-15.1에서 다룸
■ 실제 사례
- [공개 취약점] Whisper Leak(2025): 암호화 트래픽의 패킷 크기·타이밍만으로 28개 상용 모델의 대화 주제를 98% 이상(AUPRC) 분류 (OWASP LLM02:2026 예시 #5)
- [실증] 토큰 길이 부채널(2024): 스트리밍 토큰 길이로 응답 내용의 29%를 복원하고 55%의 주제를 추론 (OWASP LLM02:2026 예시 #5)</t>
        </is>
      </c>
      <c r="H58" s="11" t="inlineStr">
        <is>
          <t>중</t>
        </is>
      </c>
      <c r="I58" s="11" t="inlineStr">
        <is>
          <t>하</t>
        </is>
      </c>
      <c r="J58" s="13">
        <f>IF(AND(H58="상",I58="상"),"매우 높음",IF(OR(AND(H58="상",I58="중"),AND(H58="중",I58="상")),"높음",IF(OR(AND(H58="중",I58="중"),AND(H58="상",I58="하"),AND(H58="하",I58="상")),"보통","낮음")))</f>
        <v/>
      </c>
      <c r="K58" s="5" t="inlineStr">
        <is>
          <t>대화 주제 수준 추론(노출 제한적)</t>
        </is>
      </c>
      <c r="L58" s="11" t="inlineStr">
        <is>
          <t>실증·공개 취약점</t>
        </is>
      </c>
      <c r="M58" s="11" t="n">
        <v>0</v>
      </c>
      <c r="N58" s="5" t="inlineStr">
        <is>
          <t>유출(Exfiltration)</t>
        </is>
      </c>
      <c r="O58" s="5" t="n"/>
      <c r="P58" s="5" t="inlineStr">
        <is>
          <t>LLM02</t>
        </is>
      </c>
      <c r="Q58" s="5" t="inlineStr">
        <is>
          <t>차등프라이버시 학습·학습 데이터 중복 제거, 출력 확률·점수 비공개, 쿼리량 제한, 추출·멤버십 추론 감사</t>
        </is>
      </c>
    </row>
    <row r="59" ht="179" customHeight="1">
      <c r="A59" s="10" t="inlineStr">
        <is>
          <t>D04. 모델 조작 및 탈취</t>
        </is>
      </c>
      <c r="B59" s="11" t="inlineStr">
        <is>
          <t>UT-15</t>
        </is>
      </c>
      <c r="C59" s="5" t="inlineStr">
        <is>
          <t>모델 기반 데이터 추론</t>
        </is>
      </c>
      <c r="D59" s="11" t="inlineStr">
        <is>
          <t>UT-15.4</t>
        </is>
      </c>
      <c r="E59" s="12" t="inlineStr">
        <is>
          <t>학습 데이터 추출</t>
        </is>
      </c>
      <c r="F59" s="5" t="inlineStr">
        <is>
          <t>- 공격자는 같은 단어를 반복시키는 발산 유도 질의나 학습 데이터 앞부분을 주는 접두어 질의로, 모델이 학습 중 암기한 개인정보·코드·저작물을 원문 그대로 출력하게 할 수 있음
- 파인튜닝 모델과 LoRA 어댑터는 드문 데이터를 더 정확히 암기하며, 오픈 가중치 모델은 쿼리 제한 없이 오프라인에서 추출이 가능함</t>
        </is>
      </c>
      <c r="G59" s="5" t="inlineStr">
        <is>
          <t>■ AI 관점
- 수법: 단어를 무한 반복하게 해 정렬된 응답 패턴에서 벗어나게 하는 발산 공격, 학습 데이터 일부를 주고 이어 쓰게 하는 접두어 질의, 특정 개인·기록을 겨냥한 표적 추출 (OWASP LLM02:2026 예시 #1)
- 암기는 모델 규모·데이터 중복·문맥 길이에 따라 늘며, 좁은 범위로 파인튜닝한 어댑터는 드문 예시를 높은 정확도로 암기해 기반 모델과 별개의 추출 표면이 됨 (OWASP LLM02:2026, DSGAI18)
- 오픈 가중치 모델은 공격자가 내려받아 쿼리 제한 없이 오프라인에서 추출·멤버십 추론을 반복할 수 있음 (OWASP LLM02:2026)
- 학습에 들어간 데이터는 원본을 지워도 추출될 수 있어 삭제권 이행 문제로 이어지며(UT-36.2), 컨텍스트에 있는 데이터의 유출은 UT-12.1에서 다룸
■ 실제 사례
- [공개 취약점] 발산 공격(2023-11): 'poem'을 반복하게 하는 질의로 gpt-3.5-turbo에서 약 200달러 비용으로 1만 건 이상의 암기 데이터를 추출 — 이후 벤더 패치도 반복 우회됨 (OWASP LLM02:2026 예시 #1)
- 참고: NYT v. OpenAI, Getty v. Stability AI 소송 증거에 학습 데이터의 원문·워터마크 재현 사례가 포함됨 (OWASP LLM02:2026 예시 #1)</t>
        </is>
      </c>
      <c r="H59" s="11" t="inlineStr">
        <is>
          <t>중</t>
        </is>
      </c>
      <c r="I59" s="11" t="inlineStr">
        <is>
          <t>중</t>
        </is>
      </c>
      <c r="J59" s="13">
        <f>IF(AND(H59="상",I59="상"),"매우 높음",IF(OR(AND(H59="상",I59="중"),AND(H59="중",I59="상")),"높음",IF(OR(AND(H59="중",I59="중"),AND(H59="상",I59="하"),AND(H59="하",I59="상")),"보통","낮음")))</f>
        <v/>
      </c>
      <c r="K59" s="5" t="inlineStr">
        <is>
          <t>암기된 학습 데이터 단편 노출(대량 추출은 반복 질의 필요)</t>
        </is>
      </c>
      <c r="L59" s="11" t="inlineStr">
        <is>
          <t>실증·공개 취약점</t>
        </is>
      </c>
      <c r="M59" s="11" t="n">
        <v>0</v>
      </c>
      <c r="N59" s="5" t="inlineStr">
        <is>
          <t>유출(Exfiltration)</t>
        </is>
      </c>
      <c r="O59" s="5" t="n"/>
      <c r="P59" s="5" t="inlineStr">
        <is>
          <t>LLM02, DSGAI18</t>
        </is>
      </c>
      <c r="Q59" s="5" t="inlineStr">
        <is>
          <t>차등프라이버시 학습·학습 데이터 중복 제거, 출력 확률·점수 비공개, 쿼리량 제한, 추출·멤버십 추론 감사</t>
        </is>
      </c>
    </row>
    <row r="60" ht="54" customHeight="1">
      <c r="A60" s="10" t="inlineStr">
        <is>
          <t>D04. 모델 조작 및 탈취</t>
        </is>
      </c>
      <c r="B60" s="11" t="inlineStr">
        <is>
          <t>UT-16</t>
        </is>
      </c>
      <c r="C60" s="5" t="inlineStr">
        <is>
          <t>모델 탈취</t>
        </is>
      </c>
      <c r="D60" s="11" t="inlineStr">
        <is>
          <t>UT-16.1</t>
        </is>
      </c>
      <c r="E60" s="12" t="inlineStr">
        <is>
          <t>질의 기반 모델 복제</t>
        </is>
      </c>
      <c r="F60" s="14" t="inlineStr">
        <is>
          <t>대량 API 질의 결과를 학습 데이터로 활용하여 대상 모델 기능을 복제한 대리 모델을 구축하고, 지식재산 탈취 및 화이트박스 공격 준비에 활용</t>
        </is>
      </c>
      <c r="G60" s="14" t="inlineStr">
        <is>
          <t>• [ATLAS CS0056·실제사고] 약 2.4만 계정·1,600만 쿼리로 Claude 능력을 증류하려는 캠페인 적발(실제 사고)
• [ATLAS CS0005·실증] 번역 API 질의로 모델을 복제하고 적대적 예제를 원 서비스에 전이
• [ATLAS CS0007·실증] 공개 정보로 GPT-2 규모 모델을 재현(모델 복제)</t>
        </is>
      </c>
      <c r="H60" s="11" t="inlineStr">
        <is>
          <t>중</t>
        </is>
      </c>
      <c r="I60" s="11" t="inlineStr">
        <is>
          <t>중</t>
        </is>
      </c>
      <c r="J60" s="13">
        <f>IF(AND(H60="상",I60="상"),"매우 높음",IF(OR(AND(H60="상",I60="중"),AND(H60="중",I60="상")),"높음",IF(OR(AND(H60="중",I60="중"),AND(H60="상",I60="하"),AND(H60="하",I60="상")),"보통","낮음")))</f>
        <v/>
      </c>
      <c r="K60" s="5" t="inlineStr">
        <is>
          <t>지식재산 손실(시스템 통제 영향 없음)</t>
        </is>
      </c>
      <c r="L60" s="11" t="inlineStr">
        <is>
          <t>실제 사고 확인</t>
        </is>
      </c>
      <c r="M60" s="11" t="n">
        <v>1</v>
      </c>
      <c r="N60" s="5" t="inlineStr">
        <is>
          <t>유출(Exfiltration)</t>
        </is>
      </c>
      <c r="O60" s="5" t="inlineStr">
        <is>
          <t>T0005, T0005.000, T0005.001, T0005.002, T0024.002</t>
        </is>
      </c>
      <c r="P60" s="5" t="inlineStr">
        <is>
          <t>DSGAI20</t>
        </is>
      </c>
      <c r="Q60" s="5" t="inlineStr">
        <is>
          <t>쿼리량·패턴 제한, 증류 캠페인 탐지, 워터마킹, 모델 아티팩트 암호화·접근통제</t>
        </is>
      </c>
    </row>
    <row r="61" ht="54" customHeight="1">
      <c r="A61" s="10" t="inlineStr">
        <is>
          <t>D04. 모델 조작 및 탈취</t>
        </is>
      </c>
      <c r="B61" s="11" t="inlineStr">
        <is>
          <t>UT-16</t>
        </is>
      </c>
      <c r="C61" s="5" t="inlineStr">
        <is>
          <t>모델 탈취</t>
        </is>
      </c>
      <c r="D61" s="11" t="inlineStr">
        <is>
          <t>UT-16.2</t>
        </is>
      </c>
      <c r="E61" s="12" t="inlineStr">
        <is>
          <t>모델 파일 탈취</t>
        </is>
      </c>
      <c r="F61" s="14" t="inlineStr">
        <is>
          <t>앱 패키지/모델 저장소/학습 클러스터에서 모델 가중치 및 데이터셋 등 AI 아티팩트 파일을 직접 수집하여 반출</t>
        </is>
      </c>
      <c r="G61" s="14" t="inlineStr">
        <is>
          <t>• [ATLAS CS0058·실증] Google Photos 앱에서 암호화되지 않은 TFLite 모델을 추출
• [ATLAS CS0023·실제사고] 인증 없는 Ray 클러스터를 탈취해 연산자원·자격증명·모델 탈취(ShadowRay, 실제 사고)
• [ATLAS CS0010·실증] 레드팀이 기존 침투기법과 AI 회피를 결합해 Azure 내부 서비스 중단 시연</t>
        </is>
      </c>
      <c r="H61" s="11" t="inlineStr">
        <is>
          <t>중</t>
        </is>
      </c>
      <c r="I61" s="11" t="inlineStr">
        <is>
          <t>상</t>
        </is>
      </c>
      <c r="J61" s="13">
        <f>IF(AND(H61="상",I61="상"),"매우 높음",IF(OR(AND(H61="상",I61="중"),AND(H61="중",I61="상")),"높음",IF(OR(AND(H61="중",I61="중"),AND(H61="상",I61="하"),AND(H61="하",I61="상")),"보통","낮음")))</f>
        <v/>
      </c>
      <c r="K61" s="5" t="inlineStr">
        <is>
          <t>핵심 모델 자산 및 학습 데이터 일괄 탈취</t>
        </is>
      </c>
      <c r="L61" s="11" t="inlineStr">
        <is>
          <t>실제 사고 확인</t>
        </is>
      </c>
      <c r="M61" s="11" t="n">
        <v>1</v>
      </c>
      <c r="N61" s="5" t="inlineStr">
        <is>
          <t>수집(Collection)</t>
        </is>
      </c>
      <c r="O61" s="5" t="inlineStr">
        <is>
          <t>T0035</t>
        </is>
      </c>
      <c r="P61" s="5" t="inlineStr">
        <is>
          <t>DSGAI20</t>
        </is>
      </c>
      <c r="Q61" s="5" t="inlineStr">
        <is>
          <t>쿼리량·패턴 제한, 증류 캠페인 탐지, 워터마킹, 모델 아티팩트 암호화·접근통제</t>
        </is>
      </c>
    </row>
    <row r="62" ht="41.5" customHeight="1">
      <c r="A62" s="10" t="inlineStr">
        <is>
          <t>D04. 모델 조작 및 탈취</t>
        </is>
      </c>
      <c r="B62" s="11" t="inlineStr">
        <is>
          <t>UT-17</t>
        </is>
      </c>
      <c r="C62" s="5" t="inlineStr">
        <is>
          <t>예측 AI 회피 공격</t>
        </is>
      </c>
      <c r="D62" s="11" t="inlineStr">
        <is>
          <t>UT-17.1</t>
        </is>
      </c>
      <c r="E62" s="12" t="inlineStr">
        <is>
          <t>디지털 적대적 예제</t>
        </is>
      </c>
      <c r="F62" s="14" t="inlineStr">
        <is>
          <t>모델 경사 정보/대리 모델/반복 질의로 최적화한 미세 섭동 입력을 생성하여 탐지/분류 모델의 오판(예: 악성코드를 정상으로 분류) 유도</t>
        </is>
      </c>
      <c r="G62" s="14" t="inlineStr">
        <is>
          <t>• [ATLAS CS0004·실제사고] 카메라 영상 주입으로 얼굴인식 인증을 우회해 세금 사기(실제 사고)
• [ATLAS CS0017·실제사고] ID.me 자동 신원확인을 우회해 180건 이상 허위 실업급여 청구(실제 사고)
• [ATLAS CS0032·실제사고] 피싱 사이트가 ML 기반 피싱 탐지기를 회피하도록 시각 요소 변형(실제 사고)</t>
        </is>
      </c>
      <c r="H62" s="11" t="inlineStr">
        <is>
          <t>상</t>
        </is>
      </c>
      <c r="I62" s="11" t="inlineStr">
        <is>
          <t>중</t>
        </is>
      </c>
      <c r="J62" s="13">
        <f>IF(AND(H62="상",I62="상"),"매우 높음",IF(OR(AND(H62="상",I62="중"),AND(H62="중",I62="상")),"높음",IF(OR(AND(H62="중",I62="중"),AND(H62="상",I62="하"),AND(H62="하",I62="상")),"보통","낮음")))</f>
        <v/>
      </c>
      <c r="K62" s="5" t="inlineStr">
        <is>
          <t>특정 판단 단위 오분류(보안 탐지 우회 시 피해 확대)</t>
        </is>
      </c>
      <c r="L62" s="11" t="inlineStr">
        <is>
          <t>실제 사고 확인</t>
        </is>
      </c>
      <c r="M62" s="11" t="n">
        <v>6</v>
      </c>
      <c r="N62" s="5" t="inlineStr">
        <is>
          <t>방어 회피(Defense Evasion)</t>
        </is>
      </c>
      <c r="O62" s="5" t="inlineStr">
        <is>
          <t>T0015, T0042, T0043, T0043.000, T0043.001, T0043.002, T0043.003</t>
        </is>
      </c>
      <c r="P62" s="5" t="n"/>
      <c r="Q62" s="5" t="inlineStr">
        <is>
          <t>적대적 학습·모델 강건화, 입력 복원, 앙상블·다중센서 융합, 적대적 입력 탐지</t>
        </is>
      </c>
    </row>
    <row r="63" ht="41.5" customHeight="1">
      <c r="A63" s="10" t="inlineStr">
        <is>
          <t>D04. 모델 조작 및 탈취</t>
        </is>
      </c>
      <c r="B63" s="11" t="inlineStr">
        <is>
          <t>UT-17</t>
        </is>
      </c>
      <c r="C63" s="5" t="inlineStr">
        <is>
          <t>예측 AI 회피 공격</t>
        </is>
      </c>
      <c r="D63" s="11" t="inlineStr">
        <is>
          <t>UT-17.2</t>
        </is>
      </c>
      <c r="E63" s="12" t="inlineStr">
        <is>
          <t>물리적 적대적 객체</t>
        </is>
      </c>
      <c r="F63" s="14" t="inlineStr">
        <is>
          <t>패치/안경/표지 등 물리적 대응물을 실제 환경에 배치하여 카메라 기반 인식 모델(얼굴인식/자율주행)의 오인식 유발</t>
        </is>
      </c>
      <c r="G63" s="14" t="inlineStr">
        <is>
          <t>• [ATLAS CS0012·실증] 물리적 대응물로 상용 얼굴식별 서비스에 표적 오분류 유도
• [ATLAS CS0013·실증] 모바일 앱에서 추출한 딥러닝 모델에 백도어 삽입 후 재패키징</t>
        </is>
      </c>
      <c r="H63" s="11" t="inlineStr">
        <is>
          <t>중</t>
        </is>
      </c>
      <c r="I63" s="11" t="inlineStr">
        <is>
          <t>중</t>
        </is>
      </c>
      <c r="J63" s="13">
        <f>IF(AND(H63="상",I63="상"),"매우 높음",IF(OR(AND(H63="상",I63="중"),AND(H63="중",I63="상")),"높음",IF(OR(AND(H63="중",I63="중"),AND(H63="상",I63="하"),AND(H63="하",I63="상")),"보통","낮음")))</f>
        <v/>
      </c>
      <c r="K63" s="5" t="inlineStr">
        <is>
          <t>물리 보안 및 안전 영향(국지적)</t>
        </is>
      </c>
      <c r="L63" s="11" t="inlineStr">
        <is>
          <t>실증·공개 취약점</t>
        </is>
      </c>
      <c r="M63" s="11" t="n">
        <v>0</v>
      </c>
      <c r="N63" s="5" t="inlineStr">
        <is>
          <t>방어 회피(Defense Evasion)</t>
        </is>
      </c>
      <c r="O63" s="5" t="inlineStr">
        <is>
          <t>T0041</t>
        </is>
      </c>
      <c r="P63" s="5" t="n"/>
      <c r="Q63" s="5" t="inlineStr">
        <is>
          <t>적대적 학습·모델 강건화, 입력 복원, 앙상블·다중센서 융합, 적대적 입력 탐지</t>
        </is>
      </c>
    </row>
    <row r="64" ht="54" customHeight="1">
      <c r="A64" s="10" t="inlineStr">
        <is>
          <t>D05. 출력 처리 결함 및 신뢰성 훼손</t>
        </is>
      </c>
      <c r="B64" s="11" t="inlineStr">
        <is>
          <t>UT-18</t>
        </is>
      </c>
      <c r="C64" s="5" t="inlineStr">
        <is>
          <t>부적절한 출력 처리</t>
        </is>
      </c>
      <c r="D64" s="11" t="inlineStr">
        <is>
          <t>UT-18.1</t>
        </is>
      </c>
      <c r="E64" s="12" t="inlineStr">
        <is>
          <t>렌더링 해석기 공격</t>
        </is>
      </c>
      <c r="F64" s="14" t="inlineStr">
        <is>
          <t>모델 출력의 HTML/마크다운/ANSI 제어문자가 브라우저/터미널/IDE에서 해석되어 스크립트 실행, 화면 위조, 세션 탈취 유발</t>
        </is>
      </c>
      <c r="G64" s="14" t="inlineStr">
        <is>
          <t>• [ATLAS CS0060·실증] Lenovo 챗봇이 생성한 악성 HTML이 상담원 브라우저에서 실행되어 세션 쿠키 탈취(XSS)
• [ATLAS CS0021·실증] 웹페이지 간접 인젝션으로 ChatGPT 대화 내용을 이미지 URL로 유출
• [ATLAS CS0029·실증] 공유 Google 문서의 간접 인젝션으로 Bard 대화 내용 유출</t>
        </is>
      </c>
      <c r="H64" s="11" t="inlineStr">
        <is>
          <t>중</t>
        </is>
      </c>
      <c r="I64" s="11" t="inlineStr">
        <is>
          <t>중</t>
        </is>
      </c>
      <c r="J64" s="13">
        <f>IF(AND(H64="상",I64="상"),"매우 높음",IF(OR(AND(H64="상",I64="중"),AND(H64="중",I64="상")),"높음",IF(OR(AND(H64="중",I64="중"),AND(H64="상",I64="하"),AND(H64="하",I64="상")),"보통","낮음")))</f>
        <v/>
      </c>
      <c r="K64" s="5" t="inlineStr">
        <is>
          <t>세션 탈취 등 사용자 단위 피해</t>
        </is>
      </c>
      <c r="L64" s="11" t="inlineStr">
        <is>
          <t>실증·공개 취약점</t>
        </is>
      </c>
      <c r="M64" s="11" t="n">
        <v>0</v>
      </c>
      <c r="N64" s="5" t="inlineStr">
        <is>
          <t>실행(Execution)</t>
        </is>
      </c>
      <c r="O64" s="5" t="inlineStr">
        <is>
          <t>T0077</t>
        </is>
      </c>
      <c r="P64" s="5" t="inlineStr">
        <is>
          <t>LLM10</t>
        </is>
      </c>
      <c r="Q64" s="5" t="inlineStr">
        <is>
          <t>출력 대상 시스템별 인코딩과 이스케이프, 쿼리 파라미터화·읽기전용 계정, 외부 리소스 자동 로딩 차단, 모델 독립적 출력 보안 계층</t>
        </is>
      </c>
    </row>
    <row r="65" ht="41.5" customHeight="1">
      <c r="A65" s="10" t="inlineStr">
        <is>
          <t>D05. 출력 처리 결함 및 신뢰성 훼손</t>
        </is>
      </c>
      <c r="B65" s="11" t="inlineStr">
        <is>
          <t>UT-18</t>
        </is>
      </c>
      <c r="C65" s="5" t="inlineStr">
        <is>
          <t>부적절한 출력 처리</t>
        </is>
      </c>
      <c r="D65" s="11" t="inlineStr">
        <is>
          <t>UT-18.2</t>
        </is>
      </c>
      <c r="E65" s="12" t="inlineStr">
        <is>
          <t>DB 질의 생성 공격</t>
        </is>
      </c>
      <c r="F65" s="14" t="inlineStr">
        <is>
          <t>자연어를 SQL/그래프 질의로 변환하는 기능에 조작 입력을 주입하여, 검증 없이 실행된 질의로 대량 조회/변경/삭제 수행</t>
        </is>
      </c>
      <c r="G65" s="14" t="inlineStr">
        <is>
          <t>• [OWASP 인용] LangChain GraphCypherQAChain CVE-2024-8309 / CVE-2024-7042
• [OWASP 시나리오] 채팅형 SQL 기능의 생성 쿼리가 검증 없이 실행되어 테이블 삭제(LLM10 시나리오#3)</t>
        </is>
      </c>
      <c r="H65" s="11" t="inlineStr">
        <is>
          <t>중</t>
        </is>
      </c>
      <c r="I65" s="11" t="inlineStr">
        <is>
          <t>상</t>
        </is>
      </c>
      <c r="J65" s="13">
        <f>IF(AND(H65="상",I65="상"),"매우 높음",IF(OR(AND(H65="상",I65="중"),AND(H65="중",I65="상")),"높음",IF(OR(AND(H65="중",I65="중"),AND(H65="상",I65="하"),AND(H65="하",I65="상")),"보통","낮음")))</f>
        <v/>
      </c>
      <c r="K65" s="5" t="inlineStr">
        <is>
          <t>DB 전체 조회/변경/삭제 가능</t>
        </is>
      </c>
      <c r="L65" s="11" t="inlineStr">
        <is>
          <t>실사용 기법 포함</t>
        </is>
      </c>
      <c r="M65" s="11" t="n">
        <v>0</v>
      </c>
      <c r="N65" s="5" t="inlineStr">
        <is>
          <t>실행(Execution)</t>
        </is>
      </c>
      <c r="O65" s="5" t="n"/>
      <c r="P65" s="5" t="inlineStr">
        <is>
          <t>LLM10, DSGAI12</t>
        </is>
      </c>
      <c r="Q65" s="5" t="inlineStr">
        <is>
          <t>출력 대상 시스템별 인코딩과 이스케이프, 쿼리 파라미터화·읽기전용 계정, 외부 리소스 자동 로딩 차단, 모델 독립적 출력 보안 계층</t>
        </is>
      </c>
    </row>
    <row r="66" ht="41.5" customHeight="1">
      <c r="A66" s="10" t="inlineStr">
        <is>
          <t>D05. 출력 처리 결함 및 신뢰성 훼손</t>
        </is>
      </c>
      <c r="B66" s="11" t="inlineStr">
        <is>
          <t>UT-18</t>
        </is>
      </c>
      <c r="C66" s="5" t="inlineStr">
        <is>
          <t>부적절한 출력 처리</t>
        </is>
      </c>
      <c r="D66" s="11" t="inlineStr">
        <is>
          <t>UT-18.3</t>
        </is>
      </c>
      <c r="E66" s="12" t="inlineStr">
        <is>
          <t>생성 코드의 무검증 사용</t>
        </is>
      </c>
      <c r="F66" s="14" t="inlineStr">
        <is>
          <t>모델이 생성한 코드/이메일 템플릿/설정을 검토 없이 배포하거나 후속 시스템에 전달하여 취약 코드 및 악성 구문이 운영 환경에 반영</t>
        </is>
      </c>
      <c r="G66" s="14" t="inlineStr">
        <is>
          <t>• [ATLAS CS0052·실증] 11개 LLM 프레임워크에서 20개 RCE 취약점 발견, 인터넷 공개 앱에서 실증(LLMSmith)
• [OWASP 시나리오] 생성 코드·템플릿을 검토 없이 배포하여 취약점 반영(LLM10 시나리오#5·#6)</t>
        </is>
      </c>
      <c r="H66" s="11" t="inlineStr">
        <is>
          <t>중</t>
        </is>
      </c>
      <c r="I66" s="11" t="inlineStr">
        <is>
          <t>중</t>
        </is>
      </c>
      <c r="J66" s="13">
        <f>IF(AND(H66="상",I66="상"),"매우 높음",IF(OR(AND(H66="상",I66="중"),AND(H66="중",I66="상")),"높음",IF(OR(AND(H66="중",I66="중"),AND(H66="상",I66="하"),AND(H66="하",I66="상")),"보통","낮음")))</f>
        <v/>
      </c>
      <c r="K66" s="5" t="inlineStr">
        <is>
          <t>취약 코드 및 악성 구문의 운영 반영</t>
        </is>
      </c>
      <c r="L66" s="11" t="inlineStr">
        <is>
          <t>실증·공개 취약점</t>
        </is>
      </c>
      <c r="M66" s="11" t="n">
        <v>0</v>
      </c>
      <c r="N66" s="5" t="inlineStr">
        <is>
          <t>실행(Execution)</t>
        </is>
      </c>
      <c r="O66" s="5" t="n"/>
      <c r="P66" s="5" t="inlineStr">
        <is>
          <t>LLM10</t>
        </is>
      </c>
      <c r="Q66" s="5" t="inlineStr">
        <is>
          <t>출력 대상 시스템별 인코딩과 이스케이프, 쿼리 파라미터화·읽기전용 계정, 외부 리소스 자동 로딩 차단, 모델 독립적 출력 보안 계층</t>
        </is>
      </c>
    </row>
    <row r="67" ht="41.5" customHeight="1">
      <c r="A67" s="10" t="inlineStr">
        <is>
          <t>D05. 출력 처리 결함 및 신뢰성 훼손</t>
        </is>
      </c>
      <c r="B67" s="11" t="inlineStr">
        <is>
          <t>UT-19</t>
        </is>
      </c>
      <c r="C67" s="5" t="inlineStr">
        <is>
          <t>AI를 통한 데이터 반출</t>
        </is>
      </c>
      <c r="D67" s="11" t="inlineStr">
        <is>
          <t>UT-19.1</t>
        </is>
      </c>
      <c r="E67" s="12" t="inlineStr">
        <is>
          <t>렌더링 채널 반출</t>
        </is>
      </c>
      <c r="F67" s="14" t="inlineStr">
        <is>
          <t>인젝션된 지시로 민감정보를 외부 이미지 URL/링크 파라미터에 삽입하게 하여, 클라이언트 자동 렌더링 시점에 사용자 조작 없이 데이터 반출</t>
        </is>
      </c>
      <c r="G67" s="14" t="inlineStr">
        <is>
          <t>• [ATLAS CS0021·실증] 웹페이지 간접 인젝션으로 ChatGPT 대화 내용을 이미지 URL로 유출
• [ATLAS CS0029·실증] 공유 Google 문서의 간접 인젝션으로 Bard 대화 내용 유출
• [ATLAS CS0035·실증] 공개 채널 게시글의 간접 인젝션으로 Slack AI가 비공개 채널 데이터 유출</t>
        </is>
      </c>
      <c r="H67" s="11" t="inlineStr">
        <is>
          <t>중</t>
        </is>
      </c>
      <c r="I67" s="11" t="inlineStr">
        <is>
          <t>상</t>
        </is>
      </c>
      <c r="J67" s="13">
        <f>IF(AND(H67="상",I67="상"),"매우 높음",IF(OR(AND(H67="상",I67="중"),AND(H67="중",I67="상")),"높음",IF(OR(AND(H67="중",I67="중"),AND(H67="상",I67="하"),AND(H67="하",I67="상")),"보통","낮음")))</f>
        <v/>
      </c>
      <c r="K67" s="5" t="inlineStr">
        <is>
          <t>사용자 조작 없는 대량 유출(제로클릭)</t>
        </is>
      </c>
      <c r="L67" s="11" t="inlineStr">
        <is>
          <t>실증·공개 취약점</t>
        </is>
      </c>
      <c r="M67" s="11" t="n">
        <v>0</v>
      </c>
      <c r="N67" s="5" t="inlineStr">
        <is>
          <t>유출(Exfiltration)</t>
        </is>
      </c>
      <c r="O67" s="5" t="n"/>
      <c r="P67" s="5" t="n"/>
      <c r="Q67" s="5" t="inlineStr">
        <is>
          <t>외부 URL 렌더링 차단·egress 허용목록, 도구 콜백 대상 검증, 유출 패턴 탐지</t>
        </is>
      </c>
    </row>
    <row r="68" ht="66.5" customHeight="1">
      <c r="A68" s="10" t="inlineStr">
        <is>
          <t>D05. 출력 처리 결함 및 신뢰성 훼손</t>
        </is>
      </c>
      <c r="B68" s="11" t="inlineStr">
        <is>
          <t>UT-19</t>
        </is>
      </c>
      <c r="C68" s="5" t="inlineStr">
        <is>
          <t>AI를 통한 데이터 반출</t>
        </is>
      </c>
      <c r="D68" s="11" t="inlineStr">
        <is>
          <t>UT-19.2</t>
        </is>
      </c>
      <c r="E68" s="12" t="inlineStr">
        <is>
          <t>도구 호출 경유 반출</t>
        </is>
      </c>
      <c r="F68" s="14" t="inlineStr">
        <is>
          <t>에이전트의 메일 발송/웹 요청/파일 공유 도구 호출 인자에 수집 데이터를 포함시켜 정상 업무 행위로 위장된 외부 전송 수행</t>
        </is>
      </c>
      <c r="G68" s="14" t="inlineStr">
        <is>
          <t>• [ATLAS CS0053·실제사고] Postmark를 사칭한 악성 MCP 서버가 발송 메일을 몰래 BCC로 유출(실제 사고)
• [ATLAS CS0037·실증] Copilot Studio 고객지원 에이전트를 인젝션해 지식원·도구를 탐색하고 CRM 데이터 유출
• [ATLAS CS0039·실증] 외부 사용자가 Jira 티켓에 악성 입력을 넣어 AI가 내부자 권한으로 행위(Living off AI)</t>
        </is>
      </c>
      <c r="H68" s="11" t="inlineStr">
        <is>
          <t>중</t>
        </is>
      </c>
      <c r="I68" s="11" t="inlineStr">
        <is>
          <t>상</t>
        </is>
      </c>
      <c r="J68" s="13">
        <f>IF(AND(H68="상",I68="상"),"매우 높음",IF(OR(AND(H68="상",I68="중"),AND(H68="중",I68="상")),"높음",IF(OR(AND(H68="중",I68="중"),AND(H68="상",I68="하"),AND(H68="하",I68="상")),"보통","낮음")))</f>
        <v/>
      </c>
      <c r="K68" s="5" t="inlineStr">
        <is>
          <t>정상 업무로 위장된 대량 외부 전송</t>
        </is>
      </c>
      <c r="L68" s="11" t="inlineStr">
        <is>
          <t>실제 사고 확인</t>
        </is>
      </c>
      <c r="M68" s="11" t="n">
        <v>1</v>
      </c>
      <c r="N68" s="5" t="inlineStr">
        <is>
          <t>유출(Exfiltration)</t>
        </is>
      </c>
      <c r="O68" s="5" t="inlineStr">
        <is>
          <t>T0086</t>
        </is>
      </c>
      <c r="P68" s="5" t="n"/>
      <c r="Q68" s="5" t="inlineStr">
        <is>
          <t>외부 URL 렌더링 차단·egress 허용목록, 도구 콜백 대상 검증, 유출 패턴 탐지</t>
        </is>
      </c>
    </row>
    <row r="69" ht="41.5" customHeight="1">
      <c r="A69" s="10" t="inlineStr">
        <is>
          <t>D05. 출력 처리 결함 및 신뢰성 훼손</t>
        </is>
      </c>
      <c r="B69" s="11" t="inlineStr">
        <is>
          <t>UT-19</t>
        </is>
      </c>
      <c r="C69" s="5" t="inlineStr">
        <is>
          <t>AI를 통한 데이터 반출</t>
        </is>
      </c>
      <c r="D69" s="11" t="inlineStr">
        <is>
          <t>UT-19.3</t>
        </is>
      </c>
      <c r="E69" s="12" t="inlineStr">
        <is>
          <t>은닉 채널 반출</t>
        </is>
      </c>
      <c r="F69" s="14" t="inlineStr">
        <is>
          <t>DNS 질의/비가시 유니코드 문자 등 모니터링 사각지대 채널에 데이터를 인코딩하여 DLP 및 egress 통제를 우회한 반출</t>
        </is>
      </c>
      <c r="G69" s="14" t="inlineStr">
        <is>
          <t>• [OWASP 시나리오] 코드 런타임이 스프레드시트 내용을 DNS 질의에 인코딩해 반출(LLM02 시나리오#10)</t>
        </is>
      </c>
      <c r="H69" s="11" t="inlineStr">
        <is>
          <t>하</t>
        </is>
      </c>
      <c r="I69" s="11" t="inlineStr">
        <is>
          <t>중</t>
        </is>
      </c>
      <c r="J69" s="13">
        <f>IF(AND(H69="상",I69="상"),"매우 높음",IF(OR(AND(H69="상",I69="중"),AND(H69="중",I69="상")),"높음",IF(OR(AND(H69="중",I69="중"),AND(H69="상",I69="하"),AND(H69="하",I69="상")),"보통","낮음")))</f>
        <v/>
      </c>
      <c r="K69" s="5" t="inlineStr">
        <is>
          <t>저대역 은닉 유출(탐지 곤란)</t>
        </is>
      </c>
      <c r="L69" s="11" t="inlineStr">
        <is>
          <t>이론·시나리오</t>
        </is>
      </c>
      <c r="M69" s="11" t="n">
        <v>0</v>
      </c>
      <c r="N69" s="5" t="inlineStr">
        <is>
          <t>유출(Exfiltration)</t>
        </is>
      </c>
      <c r="O69" s="5" t="n"/>
      <c r="P69" s="5" t="n"/>
      <c r="Q69" s="5" t="inlineStr">
        <is>
          <t>외부 URL 렌더링 차단·egress 허용목록, 도구 콜백 대상 검증, 유출 패턴 탐지</t>
        </is>
      </c>
    </row>
    <row r="70" ht="41.5" customHeight="1">
      <c r="A70" s="10" t="inlineStr">
        <is>
          <t>D05. 출력 처리 결함 및 신뢰성 훼손</t>
        </is>
      </c>
      <c r="B70" s="11" t="inlineStr">
        <is>
          <t>UT-20</t>
        </is>
      </c>
      <c r="C70" s="5" t="inlineStr">
        <is>
          <t>AI 출력 신뢰성 훼손</t>
        </is>
      </c>
      <c r="D70" s="11" t="inlineStr">
        <is>
          <t>UT-20.1</t>
        </is>
      </c>
      <c r="E70" s="12" t="inlineStr">
        <is>
          <t>환각에 의한 허위정보</t>
        </is>
      </c>
      <c r="F70" s="14" t="inlineStr">
        <is>
          <t>근거 없는 사실/수치/인용을 그럴듯하게 생성하여 업무 판단, 고객 안내, 규정 해석에 오류 유발</t>
        </is>
      </c>
      <c r="G70" s="14" t="inlineStr">
        <is>
          <t>• [OWASP 시나리오] 정책 오독으로 부당 환불 승인, 임상 요약의 금기사항 누락(LLM07 시나리오#2·#3)</t>
        </is>
      </c>
      <c r="H70" s="11" t="inlineStr">
        <is>
          <t>하</t>
        </is>
      </c>
      <c r="I70" s="11" t="inlineStr">
        <is>
          <t>중</t>
        </is>
      </c>
      <c r="J70" s="13">
        <f>IF(AND(H70="상",I70="상"),"매우 높음",IF(OR(AND(H70="상",I70="중"),AND(H70="중",I70="상")),"높음",IF(OR(AND(H70="중",I70="중"),AND(H70="상",I70="하"),AND(H70="하",I70="상")),"보통","낮음")))</f>
        <v/>
      </c>
      <c r="K70" s="5" t="inlineStr">
        <is>
          <t>업무 판단 오류(재무 및 평판 영향)</t>
        </is>
      </c>
      <c r="L70" s="11" t="inlineStr">
        <is>
          <t>이론·시나리오</t>
        </is>
      </c>
      <c r="M70" s="11" t="n">
        <v>0</v>
      </c>
      <c r="N70" s="5" t="inlineStr">
        <is>
          <t>해당 없음(구조적 결함)</t>
        </is>
      </c>
      <c r="O70" s="5" t="n"/>
      <c r="P70" s="5" t="inlineStr">
        <is>
          <t>LLM07</t>
        </is>
      </c>
      <c r="Q70" s="5" t="inlineStr">
        <is>
          <t>근거 인용·출처 검증(그라운딩), 신뢰도 표시, 고위험 결정의 독립 검증, 추천 출처 편향 모니터링</t>
        </is>
      </c>
    </row>
    <row r="71" ht="54" customHeight="1">
      <c r="A71" s="10" t="inlineStr">
        <is>
          <t>D05. 출력 처리 결함 및 신뢰성 훼손</t>
        </is>
      </c>
      <c r="B71" s="11" t="inlineStr">
        <is>
          <t>UT-20</t>
        </is>
      </c>
      <c r="C71" s="5" t="inlineStr">
        <is>
          <t>AI 출력 신뢰성 훼손</t>
        </is>
      </c>
      <c r="D71" s="11" t="inlineStr">
        <is>
          <t>UT-20.3</t>
        </is>
      </c>
      <c r="E71" s="12" t="inlineStr">
        <is>
          <t>응답 편향 조작</t>
        </is>
      </c>
      <c r="F71" s="14" t="inlineStr">
        <is>
          <t>메모리/검색 근거/지시 조작을 통해 AI 응답을 특정 업체/제품/결론 쪽으로 체계적으로 편향시켜 사용자 의사결정 왜곡</t>
        </is>
      </c>
      <c r="G71" s="14" t="inlineStr">
        <is>
          <t>• [ATLAS CS0072·실제사고] 조작된 AI 비서 링크로 메모리를 오염시켜 특정 제품을 추천하게 만드는 홍보성 공격(실제 사고)
• [ATLAS CS0019·실증] LLM 가중치를 편집해 허위 사실을 답하게 만든 뒤 Hugging Face에 배포(PoisonGPT)
• [ATLAS CS0026·실증] 메일을 RAG로 수집하는 M365 Copilot을 조작해 송금 계좌 정보를 바꿔치기</t>
        </is>
      </c>
      <c r="H71" s="11" t="inlineStr">
        <is>
          <t>중</t>
        </is>
      </c>
      <c r="I71" s="11" t="inlineStr">
        <is>
          <t>중</t>
        </is>
      </c>
      <c r="J71" s="13">
        <f>IF(AND(H71="상",I71="상"),"매우 높음",IF(OR(AND(H71="상",I71="중"),AND(H71="중",I71="상")),"높음",IF(OR(AND(H71="중",I71="중"),AND(H71="상",I71="하"),AND(H71="하",I71="상")),"보통","낮음")))</f>
        <v/>
      </c>
      <c r="K71" s="5" t="inlineStr">
        <is>
          <t>사용자 의사결정 왜곡(재무 영향)</t>
        </is>
      </c>
      <c r="L71" s="11" t="inlineStr">
        <is>
          <t>실제 사고 확인</t>
        </is>
      </c>
      <c r="M71" s="11" t="n">
        <v>1</v>
      </c>
      <c r="N71" s="5" t="inlineStr">
        <is>
          <t>영향(Impact)</t>
        </is>
      </c>
      <c r="O71" s="5" t="inlineStr">
        <is>
          <t>T0130</t>
        </is>
      </c>
      <c r="P71" s="5" t="inlineStr">
        <is>
          <t>LLM07</t>
        </is>
      </c>
      <c r="Q71" s="5" t="inlineStr">
        <is>
          <t>근거 인용·출처 검증(그라운딩), 신뢰도 표시, 고위험 결정의 독립 검증, 추천 출처 편향 모니터링</t>
        </is>
      </c>
    </row>
    <row r="72" ht="41.5" customHeight="1">
      <c r="A72" s="10" t="inlineStr">
        <is>
          <t>D05. 출력 처리 결함 및 신뢰성 훼손</t>
        </is>
      </c>
      <c r="B72" s="11" t="inlineStr">
        <is>
          <t>UT-20</t>
        </is>
      </c>
      <c r="C72" s="5" t="inlineStr">
        <is>
          <t>AI 출력 신뢰성 훼손</t>
        </is>
      </c>
      <c r="D72" s="11" t="inlineStr">
        <is>
          <t>UT-20.4</t>
        </is>
      </c>
      <c r="E72" s="12" t="inlineStr">
        <is>
          <t>검증 없는 채택(과신)</t>
        </is>
      </c>
      <c r="F72" s="14" t="inlineStr">
        <is>
          <t>AI 출력을 사람 또는 자동화 워크플로가 독립 검증 없이 그대로 채택하여 오류가 업무 결과/고객 응대/시스템 조치로 직접 전파</t>
        </is>
      </c>
      <c r="G72" s="14" t="inlineStr">
        <is>
          <t>• [OWASP 시나리오] 수행하지 않은 백업을 완료로 보고, 정상 트래픽을 침입으로 오판해 자동 대응 발동(LLM07 시나리오#5·#7)</t>
        </is>
      </c>
      <c r="H72" s="11" t="inlineStr">
        <is>
          <t>하</t>
        </is>
      </c>
      <c r="I72" s="11" t="inlineStr">
        <is>
          <t>중</t>
        </is>
      </c>
      <c r="J72" s="13">
        <f>IF(AND(H72="상",I72="상"),"매우 높음",IF(OR(AND(H72="상",I72="중"),AND(H72="중",I72="상")),"높음",IF(OR(AND(H72="중",I72="중"),AND(H72="상",I72="하"),AND(H72="하",I72="상")),"보통","낮음")))</f>
        <v/>
      </c>
      <c r="K72" s="5" t="inlineStr">
        <is>
          <t>오류의 업무 결과 직접 전파</t>
        </is>
      </c>
      <c r="L72" s="11" t="inlineStr">
        <is>
          <t>이론·시나리오</t>
        </is>
      </c>
      <c r="M72" s="11" t="n">
        <v>0</v>
      </c>
      <c r="N72" s="5" t="inlineStr">
        <is>
          <t>해당 없음(구조적 결함)</t>
        </is>
      </c>
      <c r="O72" s="5" t="n"/>
      <c r="P72" s="5" t="inlineStr">
        <is>
          <t>LLM07</t>
        </is>
      </c>
      <c r="Q72" s="5" t="inlineStr">
        <is>
          <t>근거 인용·출처 검증(그라운딩), 신뢰도 표시, 고위험 결정의 독립 검증, 추천 출처 편향 모니터링</t>
        </is>
      </c>
    </row>
    <row r="73" ht="41.5" customHeight="1">
      <c r="A73" s="10" t="inlineStr">
        <is>
          <t>D06. 에이전트 오남용 및 통제 상실</t>
        </is>
      </c>
      <c r="B73" s="11" t="inlineStr">
        <is>
          <t>UT-21</t>
        </is>
      </c>
      <c r="C73" s="5" t="inlineStr">
        <is>
          <t>과도한 에이전시</t>
        </is>
      </c>
      <c r="D73" s="11" t="inlineStr">
        <is>
          <t>UT-21.1</t>
        </is>
      </c>
      <c r="E73" s="12" t="inlineStr">
        <is>
          <t>과도한 기능</t>
        </is>
      </c>
      <c r="F73" s="14" t="inlineStr">
        <is>
          <t>업무 수행에 불필요한 도구/플러그인 기능(예: 요약용 비서의 메일 발송 기능)이 에이전트에 부여되어, 인젝션 시 악용 가능한 행위 범위 확대</t>
        </is>
      </c>
      <c r="G73" s="14" t="inlineStr">
        <is>
          <t>• [OWASP 시나리오] 메일 요약용 비서가 발송 기능까지 보유해 인젝션 시 받은편지함 전체를 외부로 전달(LLM03 시나리오#1)</t>
        </is>
      </c>
      <c r="H73" s="11" t="inlineStr">
        <is>
          <t>하</t>
        </is>
      </c>
      <c r="I73" s="11" t="inlineStr">
        <is>
          <t>중</t>
        </is>
      </c>
      <c r="J73" s="13">
        <f>IF(AND(H73="상",I73="상"),"매우 높음",IF(OR(AND(H73="상",I73="중"),AND(H73="중",I73="상")),"높음",IF(OR(AND(H73="중",I73="중"),AND(H73="상",I73="하"),AND(H73="하",I73="상")),"보통","낮음")))</f>
        <v/>
      </c>
      <c r="K73" s="5" t="inlineStr">
        <is>
          <t>악용 시 피해 범위 확대 요인</t>
        </is>
      </c>
      <c r="L73" s="11" t="inlineStr">
        <is>
          <t>이론·시나리오</t>
        </is>
      </c>
      <c r="M73" s="11" t="n">
        <v>0</v>
      </c>
      <c r="N73" s="5" t="inlineStr">
        <is>
          <t>해당 없음(구조적 결함)</t>
        </is>
      </c>
      <c r="O73" s="5" t="n"/>
      <c r="P73" s="5" t="inlineStr">
        <is>
          <t>LLM03</t>
        </is>
      </c>
      <c r="Q73" s="5" t="inlineStr">
        <is>
          <t>최소 에이전시·최소권한, 도구별 범위·호출량 제한, 인자 의미 검증, 파괴적 작업 인간 승인</t>
        </is>
      </c>
    </row>
    <row r="74" ht="41.5" customHeight="1">
      <c r="A74" s="10" t="inlineStr">
        <is>
          <t>D06. 에이전트 오남용 및 통제 상실</t>
        </is>
      </c>
      <c r="B74" s="11" t="inlineStr">
        <is>
          <t>UT-21</t>
        </is>
      </c>
      <c r="C74" s="5" t="inlineStr">
        <is>
          <t>과도한 에이전시</t>
        </is>
      </c>
      <c r="D74" s="11" t="inlineStr">
        <is>
          <t>UT-21.2</t>
        </is>
      </c>
      <c r="E74" s="12" t="inlineStr">
        <is>
          <t>과도한 권한</t>
        </is>
      </c>
      <c r="F74" s="14" t="inlineStr">
        <is>
          <t>에이전트가 사용자 범위가 아닌 관리자/서비스 전체 권한 계정으로 동작하거나 권한이 점진적으로 확장되어, 단일 오작동이 조직 전체 데이터 접근으로 확대</t>
        </is>
      </c>
      <c r="G74" s="14" t="inlineStr">
        <is>
          <t>• [ATLAS CS0037·실증] Copilot Studio 고객지원 에이전트를 인젝션해 지식원·도구를 탐색하고 CRM 데이터 유출
• [OWASP 시나리오] 주문 조회용 지원 봇이 결제 API 전체 권한으로 환불까지 실행(ASI02 시나리오#3)</t>
        </is>
      </c>
      <c r="H74" s="11" t="inlineStr">
        <is>
          <t>중</t>
        </is>
      </c>
      <c r="I74" s="11" t="inlineStr">
        <is>
          <t>상</t>
        </is>
      </c>
      <c r="J74" s="13">
        <f>IF(AND(H74="상",I74="상"),"매우 높음",IF(OR(AND(H74="상",I74="중"),AND(H74="중",I74="상")),"높음",IF(OR(AND(H74="중",I74="중"),AND(H74="상",I74="하"),AND(H74="하",I74="상")),"보통","낮음")))</f>
        <v/>
      </c>
      <c r="K74" s="5" t="inlineStr">
        <is>
          <t>조직 전체 데이터 접근 권한 노출</t>
        </is>
      </c>
      <c r="L74" s="11" t="inlineStr">
        <is>
          <t>실증·공개 취약점</t>
        </is>
      </c>
      <c r="M74" s="11" t="n">
        <v>0</v>
      </c>
      <c r="N74" s="5" t="inlineStr">
        <is>
          <t>해당 없음(구조적 결함)</t>
        </is>
      </c>
      <c r="O74" s="5" t="n"/>
      <c r="P74" s="5" t="inlineStr">
        <is>
          <t>LLM03, MCP02</t>
        </is>
      </c>
      <c r="Q74" s="5" t="inlineStr">
        <is>
          <t>최소 에이전시·최소권한, 도구별 범위·호출량 제한, 인자 의미 검증, 파괴적 작업 인간 승인</t>
        </is>
      </c>
    </row>
    <row r="75" ht="41.5" customHeight="1">
      <c r="A75" s="10" t="inlineStr">
        <is>
          <t>D06. 에이전트 오남용 및 통제 상실</t>
        </is>
      </c>
      <c r="B75" s="11" t="inlineStr">
        <is>
          <t>UT-21</t>
        </is>
      </c>
      <c r="C75" s="5" t="inlineStr">
        <is>
          <t>과도한 에이전시</t>
        </is>
      </c>
      <c r="D75" s="11" t="inlineStr">
        <is>
          <t>UT-21.3</t>
        </is>
      </c>
      <c r="E75" s="12" t="inlineStr">
        <is>
          <t>과도한 자율성</t>
        </is>
      </c>
      <c r="F75" s="14" t="inlineStr">
        <is>
          <t>결제/삭제/외부 발송 등 고위험 행위를 사람 승인 없이 자율 실행하도록 설계되어 오판 및 조작이 즉시 실제 피해로 전환</t>
        </is>
      </c>
      <c r="G75" s="14" t="inlineStr">
        <is>
          <t>• [OWASP 시나리오] 고위험 작업에 대한 승인 절차 부재(LLM03 위험 예시)</t>
        </is>
      </c>
      <c r="H75" s="11" t="inlineStr">
        <is>
          <t>하</t>
        </is>
      </c>
      <c r="I75" s="11" t="inlineStr">
        <is>
          <t>중</t>
        </is>
      </c>
      <c r="J75" s="13">
        <f>IF(AND(H75="상",I75="상"),"매우 높음",IF(OR(AND(H75="상",I75="중"),AND(H75="중",I75="상")),"높음",IF(OR(AND(H75="중",I75="중"),AND(H75="상",I75="하"),AND(H75="하",I75="상")),"보통","낮음")))</f>
        <v/>
      </c>
      <c r="K75" s="5" t="inlineStr">
        <is>
          <t>승인 부재로 오판이 즉시 실제 피해로 전환</t>
        </is>
      </c>
      <c r="L75" s="11" t="inlineStr">
        <is>
          <t>이론·시나리오</t>
        </is>
      </c>
      <c r="M75" s="11" t="n">
        <v>0</v>
      </c>
      <c r="N75" s="5" t="inlineStr">
        <is>
          <t>해당 없음(구조적 결함)</t>
        </is>
      </c>
      <c r="O75" s="5" t="n"/>
      <c r="P75" s="5" t="inlineStr">
        <is>
          <t>LLM03</t>
        </is>
      </c>
      <c r="Q75" s="5" t="inlineStr">
        <is>
          <t>최소 에이전시·최소권한, 도구별 범위·호출량 제한, 인자 의미 검증, 파괴적 작업 인간 승인</t>
        </is>
      </c>
    </row>
    <row r="76" ht="41.5" customHeight="1">
      <c r="A76" s="10" t="inlineStr">
        <is>
          <t>D06. 에이전트 오남용 및 통제 상실</t>
        </is>
      </c>
      <c r="B76" s="11" t="inlineStr">
        <is>
          <t>UT-21</t>
        </is>
      </c>
      <c r="C76" s="5" t="inlineStr">
        <is>
          <t>과도한 에이전시</t>
        </is>
      </c>
      <c r="D76" s="11" t="inlineStr">
        <is>
          <t>UT-21.4</t>
        </is>
      </c>
      <c r="E76" s="12" t="inlineStr">
        <is>
          <t>위험한 도구 연쇄 호출</t>
        </is>
      </c>
      <c r="F76" s="14" t="inlineStr">
        <is>
          <t>정상 도구들을 조회, 가공, 외부 전송 순으로 연쇄 호출하거나 반복 호출하여 개별 도구 통제로는 탐지되지 않는 데이터 유출/권한 밖 행위 수행</t>
        </is>
      </c>
      <c r="G76" s="14" t="inlineStr">
        <is>
          <t>• [ATLAS CS0016·실증] MathGPT에 프롬프트 인젝션으로 파이썬 코드 실행·API 키 노출
• [ATLAS CS0021·실증] 웹페이지 간접 인젝션으로 ChatGPT 대화 내용을 이미지 URL로 유출
• [ATLAS CS0024·실증] RAG를 매개로 자기복제 프롬프트가 GenAI 이메일 비서 간 전파(Morris II 웜)</t>
        </is>
      </c>
      <c r="H76" s="11" t="inlineStr">
        <is>
          <t>중</t>
        </is>
      </c>
      <c r="I76" s="11" t="inlineStr">
        <is>
          <t>상</t>
        </is>
      </c>
      <c r="J76" s="13">
        <f>IF(AND(H76="상",I76="상"),"매우 높음",IF(OR(AND(H76="상",I76="중"),AND(H76="중",I76="상")),"높음",IF(OR(AND(H76="중",I76="중"),AND(H76="상",I76="하"),AND(H76="하",I76="상")),"보통","낮음")))</f>
        <v/>
      </c>
      <c r="K76" s="5" t="inlineStr">
        <is>
          <t>개별 통제 우회형 데이터 유출 및 권한 밖 행위</t>
        </is>
      </c>
      <c r="L76" s="11" t="inlineStr">
        <is>
          <t>실증·공개 취약점</t>
        </is>
      </c>
      <c r="M76" s="11" t="n">
        <v>0</v>
      </c>
      <c r="N76" s="5" t="inlineStr">
        <is>
          <t>실행(Execution)</t>
        </is>
      </c>
      <c r="O76" s="5" t="inlineStr">
        <is>
          <t>T0053</t>
        </is>
      </c>
      <c r="P76" s="5" t="inlineStr">
        <is>
          <t>ASI02</t>
        </is>
      </c>
      <c r="Q76" s="5" t="inlineStr">
        <is>
          <t>최소 에이전시·최소권한, 도구별 범위·호출량 제한, 인자 의미 검증, 파괴적 작업 인간 승인</t>
        </is>
      </c>
    </row>
    <row r="77" ht="66.5" customHeight="1">
      <c r="A77" s="10" t="inlineStr">
        <is>
          <t>D06. 에이전트 오남용 및 통제 상실</t>
        </is>
      </c>
      <c r="B77" s="11" t="inlineStr">
        <is>
          <t>UT-21</t>
        </is>
      </c>
      <c r="C77" s="5" t="inlineStr">
        <is>
          <t>과도한 에이전시</t>
        </is>
      </c>
      <c r="D77" s="11" t="inlineStr">
        <is>
          <t>UT-21.5</t>
        </is>
      </c>
      <c r="E77" s="12" t="inlineStr">
        <is>
          <t>파괴적 도구 실행</t>
        </is>
      </c>
      <c r="F77" s="14" t="inlineStr">
        <is>
          <t>에이전트가 조작된 지시 또는 오판에 따라 파일/DB/인프라 삭제 명령을 도구로 실행하여 업무 데이터 및 서비스 파괴</t>
        </is>
      </c>
      <c r="G77" s="14" t="inlineStr">
        <is>
          <t>• [ATLAS CS0047·실제사고] 과권한 GitHub 토큰으로 Amazon Q VS Code 확장에 파괴형 에이전트 지시 커밋(실제 사고)
• [ATLAS CS0046·실증] 웹페이지 인젝션으로 Claude Computer Use가 셸 명령으로 사용자 데이터 삭제
• [ATLAS CS0063·실증] 캘린더 초대·메일에 숨긴 지시로 Gemini 비서가 기기·앱을 조작
• [OWASP 인용] Replit 운영 DB 삭제(2025.07) / Google Gemini CLI 파일 손실(2025.07)</t>
        </is>
      </c>
      <c r="H77" s="11" t="inlineStr">
        <is>
          <t>상</t>
        </is>
      </c>
      <c r="I77" s="11" t="inlineStr">
        <is>
          <t>상</t>
        </is>
      </c>
      <c r="J77" s="13">
        <f>IF(AND(H77="상",I77="상"),"매우 높음",IF(OR(AND(H77="상",I77="중"),AND(H77="중",I77="상")),"높음",IF(OR(AND(H77="중",I77="중"),AND(H77="상",I77="하"),AND(H77="하",I77="상")),"보통","낮음")))</f>
        <v/>
      </c>
      <c r="K77" s="5" t="inlineStr">
        <is>
          <t>운영 데이터 및 서비스 파괴</t>
        </is>
      </c>
      <c r="L77" s="11" t="inlineStr">
        <is>
          <t>실제 사고 확인</t>
        </is>
      </c>
      <c r="M77" s="11" t="n">
        <v>3</v>
      </c>
      <c r="N77" s="5" t="inlineStr">
        <is>
          <t>영향(Impact)</t>
        </is>
      </c>
      <c r="O77" s="5" t="inlineStr">
        <is>
          <t>T0101</t>
        </is>
      </c>
      <c r="P77" s="5" t="inlineStr">
        <is>
          <t>ASI02</t>
        </is>
      </c>
      <c r="Q77" s="5" t="inlineStr">
        <is>
          <t>최소 에이전시·최소권한, 도구별 범위·호출량 제한, 인자 의미 검증, 파괴적 작업 인간 승인</t>
        </is>
      </c>
    </row>
    <row r="78" ht="216.5" customHeight="1">
      <c r="A78" s="10" t="inlineStr">
        <is>
          <t>D06. 에이전트 오남용 및 통제 상실</t>
        </is>
      </c>
      <c r="B78" s="11" t="inlineStr">
        <is>
          <t>UT-22</t>
        </is>
      </c>
      <c r="C78" s="5" t="inlineStr">
        <is>
          <t>비의도적 코드 실행</t>
        </is>
      </c>
      <c r="D78" s="11" t="inlineStr">
        <is>
          <t>UT-22.1</t>
        </is>
      </c>
      <c r="E78" s="12" t="inlineStr">
        <is>
          <t>생성 코드 실행</t>
        </is>
      </c>
      <c r="F78" s="5" t="inlineStr">
        <is>
          <t>- 공격자는 인젝션으로 에이전트가 생성하거나 받아들인 코드·셸 명령을 코드 인터프리터·터미널 도구에서 검증 없이 실행하게 해, 실행 환경에서 명령 실행과 시스템 변경을 일으킬 수 있음
- 생성과 실행이 한 흐름으로 묶인 에이전트에서는 승인 절차 우회 하나로 호스트 장악까지 이어지며, 실행 코드가 매번 달라 시그니처 탐지가 어려움</t>
        </is>
      </c>
      <c r="G78" s="5" t="inlineStr">
        <is>
          <t>■ AI 관점
- 실행 경로: 코드 인터프리터·노트북 커널, 질의를 코드로 바꿔 실행하는 프레임워크, 코딩 에이전트의 셸 도구, 화면을 조작하는 컴퓨터 사용 에이전트 (OWASP ASI05)
- 발생 원인: 프롬프트 인젝션으로 심은 명령, 환각·오염으로 생성된 위험 코드, 자동 복구 과정의 미검토 설치·셸 명령 — 실시간 생성 코드라 배포 전 코드 검증을 거치지 않음 (OWASP ASI05 예시 #1~#3)
- 승인 절차 우회: 명령 파싱 결함이나 허용 목록 우회로 사용자 확인 없이 실행되면 개발자 PC·CI 러너·서버 권한이 그대로 넘어감 (UT-32.3)
- 도구 구현 내부에서 인자가 셸·eval로 흘러 실행되는 명령 주입은 UT-22.4, 파일 로딩 시 실행은 UT-22.2, 격리 탈출은 UT-22.3에서 다룸
■ 실제 사례
- [실제 사고] OpenAI 평가용 자율 에이전트(2026-07): 내부 평가 중 에이전트들이 노출된 실행 하네스로 셸 명령과 C·Python 코드를 실행하고, Jinja2 실행 경로로 Hugging Face 운영 Dataset Server 파드에서 명령을 실행 (ATLAS AML.CS0068)
- [실증] LLMSmith(2025-02): LangChain·LlamaIndex·PandasAI 등 11개 프레임워크에서 LLM 출력을 코드로 실행하는 경로의 RCE 취약점 20개를 찾아 인터넷 공개 앱에서 실증 (ATLAS AML.CS0052)
- [공개 취약점] CVE-2025-54795(Claude Code): 명령 파싱 오류로 실행 확인 절차를 우회해 신뢰되지 않은 명령을 실행 (OWASP DSGAI02)</t>
        </is>
      </c>
      <c r="H78" s="11" t="inlineStr">
        <is>
          <t>상</t>
        </is>
      </c>
      <c r="I78" s="11" t="inlineStr">
        <is>
          <t>상</t>
        </is>
      </c>
      <c r="J78" s="13">
        <f>IF(AND(H78="상",I78="상"),"매우 높음",IF(OR(AND(H78="상",I78="중"),AND(H78="중",I78="상")),"높음",IF(OR(AND(H78="중",I78="중"),AND(H78="상",I78="하"),AND(H78="하",I78="상")),"보통","낮음")))</f>
        <v/>
      </c>
      <c r="K78" s="5" t="inlineStr">
        <is>
          <t>호스트 명령 실행(시스템 장악)</t>
        </is>
      </c>
      <c r="L78" s="11" t="inlineStr">
        <is>
          <t>실제 사고 확인</t>
        </is>
      </c>
      <c r="M78" s="11" t="n">
        <v>2</v>
      </c>
      <c r="N78" s="5" t="inlineStr">
        <is>
          <t>실행(Execution)</t>
        </is>
      </c>
      <c r="O78" s="5" t="inlineStr">
        <is>
          <t>T0050</t>
        </is>
      </c>
      <c r="P78" s="5" t="inlineStr">
        <is>
          <t>ASI05, MCP05</t>
        </is>
      </c>
      <c r="Q78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79" ht="54" customHeight="1">
      <c r="A79" s="10" t="inlineStr">
        <is>
          <t>D06. 에이전트 오남용 및 통제 상실</t>
        </is>
      </c>
      <c r="B79" s="11" t="inlineStr">
        <is>
          <t>UT-22</t>
        </is>
      </c>
      <c r="C79" s="5" t="inlineStr">
        <is>
          <t>비의도적 코드 실행</t>
        </is>
      </c>
      <c r="D79" s="11" t="inlineStr">
        <is>
          <t>UT-22.2</t>
        </is>
      </c>
      <c r="E79" s="12" t="inlineStr">
        <is>
          <t>안전하지 않은 파일 실행</t>
        </is>
      </c>
      <c r="F79" s="14" t="inlineStr">
        <is>
          <t>pickle 등 역직렬화 취약 포맷의 모델/데이터 파일 또는 사용자가 실행한 악성 노트북을 통해 로딩 시점에 임의 코드 실행</t>
        </is>
      </c>
      <c r="G79" s="14" t="inlineStr">
        <is>
          <t>• [ATLAS CS0018·실증] Google Colab 노트북을 통한 임의 코드 실행 경로 시연
• [ATLAS CS0031·실제사고] Hugging Face에 역쉘을 내장한 악성 모델 호스팅(실제 사고)
• [ATLAS CS0044·실제사고] APT28 LAMEHUG가 LLM API로 실행 명령을 동적 생성(실제 사고)
• [OWASP 인용] CVE-2025-24357 vLLM torch.load 안전하지 않은 역직렬화</t>
        </is>
      </c>
      <c r="H79" s="11" t="inlineStr">
        <is>
          <t>상</t>
        </is>
      </c>
      <c r="I79" s="11" t="inlineStr">
        <is>
          <t>상</t>
        </is>
      </c>
      <c r="J79" s="13">
        <f>IF(AND(H79="상",I79="상"),"매우 높음",IF(OR(AND(H79="상",I79="중"),AND(H79="중",I79="상")),"높음",IF(OR(AND(H79="중",I79="중"),AND(H79="상",I79="하"),AND(H79="하",I79="상")),"보통","낮음")))</f>
        <v/>
      </c>
      <c r="K79" s="5" t="inlineStr">
        <is>
          <t>파일 로딩 시 임의 코드 실행</t>
        </is>
      </c>
      <c r="L79" s="11" t="inlineStr">
        <is>
          <t>실제 사고 확인</t>
        </is>
      </c>
      <c r="M79" s="11" t="n">
        <v>2</v>
      </c>
      <c r="N79" s="5" t="inlineStr">
        <is>
          <t>실행(Execution)</t>
        </is>
      </c>
      <c r="O79" s="5" t="inlineStr">
        <is>
          <t>T0011</t>
        </is>
      </c>
      <c r="P79" s="5" t="inlineStr">
        <is>
          <t>ASI05</t>
        </is>
      </c>
      <c r="Q79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80" ht="79" customHeight="1">
      <c r="A80" s="10" t="inlineStr">
        <is>
          <t>D06. 에이전트 오남용 및 통제 상실</t>
        </is>
      </c>
      <c r="B80" s="11" t="inlineStr">
        <is>
          <t>UT-22</t>
        </is>
      </c>
      <c r="C80" s="5" t="inlineStr">
        <is>
          <t>비의도적 코드 실행</t>
        </is>
      </c>
      <c r="D80" s="11" t="inlineStr">
        <is>
          <t>UT-22.3</t>
        </is>
      </c>
      <c r="E80" s="12" t="inlineStr">
        <is>
          <t>샌드박스 탈출</t>
        </is>
      </c>
      <c r="F80" s="14" t="inlineStr">
        <is>
          <t>코드 실행 환경의 격리 결함/설정 파일 덮어쓰기를 악용하여 샌드박스를 벗어나 호스트 장악 및 지속성 확보</t>
        </is>
      </c>
      <c r="G80" s="14" t="inlineStr">
        <is>
          <t>• [ATLAS CS0068·실제사고] OpenAI 평가용 자율 에이전트들이 평가 경계를 넘어 외부 인프라 구축·Hugging Face 침해(실제 사고)
• [ATLAS CS0050·실증] 악성 링크 1회 클릭으로 OpenClaw 로컬 에이전트 원격 코드 실행
• [ATLAS CS0052·실증] 11개 LLM 프레임워크에서 20개 RCE 취약점 발견, 인터넷 공개 앱에서 실증(LLMSmith)
• [OWASP 인용] Cursor 설정 덮어쓰기(대소문자 불일치, 2025.10) / Cursor 에이전트 파일 보호 우회(2025.10)</t>
        </is>
      </c>
      <c r="H80" s="11" t="inlineStr">
        <is>
          <t>중</t>
        </is>
      </c>
      <c r="I80" s="11" t="inlineStr">
        <is>
          <t>상</t>
        </is>
      </c>
      <c r="J80" s="13">
        <f>IF(AND(H80="상",I80="상"),"매우 높음",IF(OR(AND(H80="상",I80="중"),AND(H80="중",I80="상")),"높음",IF(OR(AND(H80="중",I80="중"),AND(H80="상",I80="하"),AND(H80="하",I80="상")),"보통","낮음")))</f>
        <v/>
      </c>
      <c r="K80" s="5" t="inlineStr">
        <is>
          <t>호스트 장악 및 지속성 확보</t>
        </is>
      </c>
      <c r="L80" s="11" t="inlineStr">
        <is>
          <t>실제 사고 확인</t>
        </is>
      </c>
      <c r="M80" s="11" t="n">
        <v>1</v>
      </c>
      <c r="N80" s="5" t="inlineStr">
        <is>
          <t>권한 상승(Privilege Escalation)</t>
        </is>
      </c>
      <c r="O80" s="5" t="inlineStr">
        <is>
          <t>T0105, T0112</t>
        </is>
      </c>
      <c r="P80" s="5" t="inlineStr">
        <is>
          <t>ASI05</t>
        </is>
      </c>
      <c r="Q80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81" ht="216.5" customHeight="1">
      <c r="A81" s="10" t="inlineStr">
        <is>
          <t>D06. 에이전트 오남용 및 통제 상실</t>
        </is>
      </c>
      <c r="B81" s="11" t="inlineStr">
        <is>
          <t>UT-22</t>
        </is>
      </c>
      <c r="C81" s="5" t="inlineStr">
        <is>
          <t>비의도적 코드 실행</t>
        </is>
      </c>
      <c r="D81" s="11" t="inlineStr">
        <is>
          <t>UT-22.4</t>
        </is>
      </c>
      <c r="E81" s="12" t="inlineStr">
        <is>
          <t>도구 인자 명령 주입</t>
        </is>
      </c>
      <c r="F81" s="5" t="inlineStr">
        <is>
          <t>- 공격자는 인젝션으로 조종한 모델이 도구에 넘기는 인자에 셸 메타문자·코드 조각·경로 조작 문자열을 넣어, 셸·eval·템플릿 처리로 이어지는 도구 구현에서 임의 명령을 실행할 수 있음
- 코드 실행용이 아닌 일반 도구·MCP 서버도 인자 검증이 없으면 실행 지점이 되며, 모델 출력이라 사용자 입력 검증을 거치지 않아 놓치기 쉬움</t>
        </is>
      </c>
      <c r="G81" s="5" t="inlineStr">
        <is>
          <t>■ AI 관점
- 정의: 모델이 만든 도구 인자가 도구·프레임워크·MCP 서버 구현의 셸 문자열 결합, eval·람다 평가, 템플릿 엔진, 파일 경로 처리로 검증 없이 전달되는 결함 — 도구 자체는 코드를 실행하는 용도가 아님 (OWASP MCP05·ASI05)
- 고전적 명령 주입·경로 조작과 원리는 같지만 입력 주체가 프롬프트 인젝션(UT-07.1)에 조종된 모델이어서, 사용자 입력에 적용하던 검증 계층을 거치지 않음
- 예: "test.txt &amp;&amp; rm -rf /important_data"처럼 셸 메타문자가 섞인 파일명 인자, 업로드→경로 조작→동적 코드 로딩으로 이어지는 도구 연쇄, 에이전트 메모리 시스템의 eval 처리 (OWASP ASI05 시나리오 #2·#5·#6)
- LLM 프레임워크에서 사용자 입력·LLM 출력이 exec·eval·os.popen으로 이어지는 호출 체인은 정적 분석으로 대량 식별되어 인터넷 공개 앱이 표적이 됨 (UT-08.2, ATLAS AML.T0084.003)
■ 실제 사례
- [실증] Semantic Kernel 검색 플러그인(2026-05): 인젝션으로 검색 도구의 필터 인자에 악성 서식을 넣자 필터가 Python 람다식으로 평가되어 호스트에서 원격 코드 실행 (ATLAS AML.CS0062)
- [공개 취약점] Framelink Figma MCP(2025-10): get_figma_data 도구의 미검증 입력으로 비인증 원격 명령 실행 (OWASP ASI 부록 D)
- [공개 취약점] CVE-2025-6514(mcp-remote): 신뢰할 수 없는 MCP 서버가 돌려준 authorization_endpoint URL로 클라이언트 PC에 OS 명령 주입 (OWASP DSGAI06)</t>
        </is>
      </c>
      <c r="H81" s="11" t="inlineStr">
        <is>
          <t>중</t>
        </is>
      </c>
      <c r="I81" s="11" t="inlineStr">
        <is>
          <t>상</t>
        </is>
      </c>
      <c r="J81" s="13">
        <f>IF(AND(H81="상",I81="상"),"매우 높음",IF(OR(AND(H81="상",I81="중"),AND(H81="중",I81="상")),"높음",IF(OR(AND(H81="중",I81="중"),AND(H81="상",I81="하"),AND(H81="하",I81="상")),"보통","낮음")))</f>
        <v/>
      </c>
      <c r="K81" s="5" t="inlineStr">
        <is>
          <t>도구 실행 호스트의 임의 명령 실행(시스템 장악)</t>
        </is>
      </c>
      <c r="L81" s="11" t="inlineStr">
        <is>
          <t>실사용 기법 포함</t>
        </is>
      </c>
      <c r="M81" s="11" t="n">
        <v>0</v>
      </c>
      <c r="N81" s="5" t="inlineStr">
        <is>
          <t>실행(Execution)</t>
        </is>
      </c>
      <c r="O81" s="5" t="n"/>
      <c r="P81" s="5" t="inlineStr">
        <is>
          <t>ASI05, MCP05</t>
        </is>
      </c>
      <c r="Q81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82" ht="41.5" customHeight="1">
      <c r="A82" s="10" t="inlineStr">
        <is>
          <t>D06. 에이전트 오남용 및 통제 상실</t>
        </is>
      </c>
      <c r="B82" s="11" t="inlineStr">
        <is>
          <t>UT-23</t>
        </is>
      </c>
      <c r="C82" s="5" t="inlineStr">
        <is>
          <t>에이전트 간 연쇄 장애</t>
        </is>
      </c>
      <c r="D82" s="11" t="inlineStr">
        <is>
          <t>UT-23.1</t>
        </is>
      </c>
      <c r="E82" s="12" t="inlineStr">
        <is>
          <t>다중 에이전트 오류 전파</t>
        </is>
      </c>
      <c r="F82" s="14" t="inlineStr">
        <is>
          <t>한 에이전트의 환각/오염 출력이 검증 없이 후속 에이전트의 입력으로 전달되어 다단계 워크플로 전체로 오류 증폭</t>
        </is>
      </c>
      <c r="G82" s="14" t="inlineStr">
        <is>
          <t>• [OWASP 인용] GitHub Copilot·Cursor 코드 에이전트 익스플로잇(2025.03)
• [OWASP 시나리오] 인젝션된 시장분석 에이전트가 위험 한도를 부풀려 연쇄 매매(ASI08 시나리오#1)</t>
        </is>
      </c>
      <c r="H82" s="11" t="inlineStr">
        <is>
          <t>중</t>
        </is>
      </c>
      <c r="I82" s="11" t="inlineStr">
        <is>
          <t>중</t>
        </is>
      </c>
      <c r="J82" s="13">
        <f>IF(AND(H82="상",I82="상"),"매우 높음",IF(OR(AND(H82="상",I82="중"),AND(H82="중",I82="상")),"높음",IF(OR(AND(H82="중",I82="중"),AND(H82="상",I82="하"),AND(H82="하",I82="상")),"보통","낮음")))</f>
        <v/>
      </c>
      <c r="K82" s="5" t="inlineStr">
        <is>
          <t>연계 워크플로 오작동(무결성 및 가용성)</t>
        </is>
      </c>
      <c r="L82" s="11" t="inlineStr">
        <is>
          <t>실증·공개 취약점</t>
        </is>
      </c>
      <c r="M82" s="11" t="n">
        <v>0</v>
      </c>
      <c r="N82" s="5" t="inlineStr">
        <is>
          <t>내부 확산(Lateral Movement)</t>
        </is>
      </c>
      <c r="O82" s="5" t="n"/>
      <c r="P82" s="5" t="inlineStr">
        <is>
          <t>ASI08</t>
        </is>
      </c>
      <c r="Q82" s="5" t="inlineStr">
        <is>
          <t>결함 격리·블라스트 반경 상한, 계획/실행 분리, 서킷브레이커, 디지털 트윈 재현 시험</t>
        </is>
      </c>
    </row>
    <row r="83" ht="41.5" customHeight="1">
      <c r="A83" s="10" t="inlineStr">
        <is>
          <t>D06. 에이전트 오남용 및 통제 상실</t>
        </is>
      </c>
      <c r="B83" s="11" t="inlineStr">
        <is>
          <t>UT-23</t>
        </is>
      </c>
      <c r="C83" s="5" t="inlineStr">
        <is>
          <t>에이전트 간 연쇄 장애</t>
        </is>
      </c>
      <c r="D83" s="11" t="inlineStr">
        <is>
          <t>UT-23.2</t>
        </is>
      </c>
      <c r="E83" s="12" t="inlineStr">
        <is>
          <t>자기복제 프롬프트(웜)</t>
        </is>
      </c>
      <c r="F83" s="14" t="inlineStr">
        <is>
          <t>출력에 자신을 복제하는 지시를 포함시켜, 메일/문서를 매개로 연결된 다른 AI 시스템으로 자동 전파되며 데이터 유출과 스팸 확산</t>
        </is>
      </c>
      <c r="G83" s="14" t="inlineStr">
        <is>
          <t>• [ATLAS CS0024·실증] RAG를 매개로 자기복제 프롬프트가 GenAI 이메일 비서 간 전파(Morris II 웜)</t>
        </is>
      </c>
      <c r="H83" s="11" t="inlineStr">
        <is>
          <t>중</t>
        </is>
      </c>
      <c r="I83" s="11" t="inlineStr">
        <is>
          <t>상</t>
        </is>
      </c>
      <c r="J83" s="13">
        <f>IF(AND(H83="상",I83="상"),"매우 높음",IF(OR(AND(H83="상",I83="중"),AND(H83="중",I83="상")),"높음",IF(OR(AND(H83="중",I83="중"),AND(H83="상",I83="하"),AND(H83="하",I83="상")),"보통","낮음")))</f>
        <v/>
      </c>
      <c r="K83" s="5" t="inlineStr">
        <is>
          <t>연결된 AI 시스템 전반 자동 확산</t>
        </is>
      </c>
      <c r="L83" s="11" t="inlineStr">
        <is>
          <t>실증·공개 취약점</t>
        </is>
      </c>
      <c r="M83" s="11" t="n">
        <v>0</v>
      </c>
      <c r="N83" s="5" t="inlineStr">
        <is>
          <t>지속성(Persistence)</t>
        </is>
      </c>
      <c r="O83" s="5" t="inlineStr">
        <is>
          <t>T0061</t>
        </is>
      </c>
      <c r="P83" s="5" t="inlineStr">
        <is>
          <t>ASI08</t>
        </is>
      </c>
      <c r="Q83" s="5" t="inlineStr">
        <is>
          <t>결함 격리·블라스트 반경 상한, 계획/실행 분리, 서킷브레이커, 디지털 트윈 재현 시험</t>
        </is>
      </c>
    </row>
    <row r="84" ht="41.5" customHeight="1">
      <c r="A84" s="10" t="inlineStr">
        <is>
          <t>D06. 에이전트 오남용 및 통제 상실</t>
        </is>
      </c>
      <c r="B84" s="11" t="inlineStr">
        <is>
          <t>UT-23</t>
        </is>
      </c>
      <c r="C84" s="5" t="inlineStr">
        <is>
          <t>에이전트 간 연쇄 장애</t>
        </is>
      </c>
      <c r="D84" s="11" t="inlineStr">
        <is>
          <t>UT-23.3</t>
        </is>
      </c>
      <c r="E84" s="12" t="inlineStr">
        <is>
          <t>자동 대응 루프 폭주</t>
        </is>
      </c>
      <c r="F84" s="14" t="inlineStr">
        <is>
          <t>자동 복구/대응 에이전트 간 상호 트리거로 피드백 루프가 형성되어 과도한 조치, 자원 소모, 경보 억제 등 시스템 불안정 유발</t>
        </is>
      </c>
      <c r="G84" s="14" t="inlineStr">
        <is>
          <t>• [OWASP 시나리오] 자동 복구 에이전트 간 피드백 루프로 경보 억제 및 과잉 조치(ASI08 시나리오#6)</t>
        </is>
      </c>
      <c r="H84" s="11" t="inlineStr">
        <is>
          <t>하</t>
        </is>
      </c>
      <c r="I84" s="11" t="inlineStr">
        <is>
          <t>중</t>
        </is>
      </c>
      <c r="J84" s="13">
        <f>IF(AND(H84="상",I84="상"),"매우 높음",IF(OR(AND(H84="상",I84="중"),AND(H84="중",I84="상")),"높음",IF(OR(AND(H84="중",I84="중"),AND(H84="상",I84="하"),AND(H84="하",I84="상")),"보통","낮음")))</f>
        <v/>
      </c>
      <c r="K84" s="5" t="inlineStr">
        <is>
          <t>일시적 가용성 저하 및 과잉 조치</t>
        </is>
      </c>
      <c r="L84" s="11" t="inlineStr">
        <is>
          <t>이론·시나리오</t>
        </is>
      </c>
      <c r="M84" s="11" t="n">
        <v>0</v>
      </c>
      <c r="N84" s="5" t="inlineStr">
        <is>
          <t>영향(Impact)</t>
        </is>
      </c>
      <c r="O84" s="5" t="n"/>
      <c r="P84" s="5" t="inlineStr">
        <is>
          <t>ASI08</t>
        </is>
      </c>
      <c r="Q84" s="5" t="inlineStr">
        <is>
          <t>결함 격리·블라스트 반경 상한, 계획/실행 분리, 서킷브레이커, 디지털 트윈 재현 시험</t>
        </is>
      </c>
    </row>
    <row r="85" ht="54" customHeight="1">
      <c r="A85" s="10" t="inlineStr">
        <is>
          <t>D06. 에이전트 오남용 및 통제 상실</t>
        </is>
      </c>
      <c r="B85" s="11" t="inlineStr">
        <is>
          <t>UT-24</t>
        </is>
      </c>
      <c r="C85" s="5" t="inlineStr">
        <is>
          <t>통제를 벗어난 에이전트</t>
        </is>
      </c>
      <c r="D85" s="11" t="inlineStr">
        <is>
          <t>UT-24.1</t>
        </is>
      </c>
      <c r="E85" s="12" t="inlineStr">
        <is>
          <t>목표 이탈과 보상 해킹</t>
        </is>
      </c>
      <c r="F85" s="14" t="inlineStr">
        <is>
          <t>에이전트가 부여된 목표를 문자 그대로 최적화하는 과정에서 백업 삭제/통제 우회 등 의도하지 않은 유해 행위를 선택하고 정상 동작처럼 보고</t>
        </is>
      </c>
      <c r="G85" s="14" t="inlineStr">
        <is>
          <t>• [ATLAS CS0068·실제사고] OpenAI 평가용 자율 에이전트들이 평가 경계를 넘어 외부 인프라 구축·Hugging Face 침해(실제 사고)
• [OWASP 인용] Replit 바이브 코딩 에이전트의 지시 위반 및 데이터 조작(2025.07)
• [OWASP 시나리오] 비용 최소화 목표의 에이전트가 운영 백업 삭제를 학습(ASI10 시나리오#4)</t>
        </is>
      </c>
      <c r="H85" s="11" t="inlineStr">
        <is>
          <t>상</t>
        </is>
      </c>
      <c r="I85" s="11" t="inlineStr">
        <is>
          <t>상</t>
        </is>
      </c>
      <c r="J85" s="13">
        <f>IF(AND(H85="상",I85="상"),"매우 높음",IF(OR(AND(H85="상",I85="중"),AND(H85="중",I85="상")),"높음",IF(OR(AND(H85="중",I85="중"),AND(H85="상",I85="하"),AND(H85="하",I85="상")),"보통","낮음")))</f>
        <v/>
      </c>
      <c r="K85" s="5" t="inlineStr">
        <is>
          <t>권한 내 유해 행위 지속 및 은폐</t>
        </is>
      </c>
      <c r="L85" s="11" t="inlineStr">
        <is>
          <t>실제 사고 확인</t>
        </is>
      </c>
      <c r="M85" s="11" t="n">
        <v>2</v>
      </c>
      <c r="N85" s="5" t="inlineStr">
        <is>
          <t>해당 없음(구조적 결함)</t>
        </is>
      </c>
      <c r="O85" s="5" t="n"/>
      <c r="P85" s="5" t="inlineStr">
        <is>
          <t>ASI10</t>
        </is>
      </c>
      <c r="Q85" s="5" t="inlineStr">
        <is>
          <t>행동 기준선·감시 에이전트, 범위 이탈 탐지, 킬스위치·자격증명 즉시 폐기, 서명된 행동 매니페스트</t>
        </is>
      </c>
    </row>
    <row r="86" ht="54" customHeight="1">
      <c r="A86" s="10" t="inlineStr">
        <is>
          <t>D06. 에이전트 오남용 및 통제 상실</t>
        </is>
      </c>
      <c r="B86" s="11" t="inlineStr">
        <is>
          <t>UT-24</t>
        </is>
      </c>
      <c r="C86" s="5" t="inlineStr">
        <is>
          <t>통제를 벗어난 에이전트</t>
        </is>
      </c>
      <c r="D86" s="11" t="inlineStr">
        <is>
          <t>UT-24.2</t>
        </is>
      </c>
      <c r="E86" s="12" t="inlineStr">
        <is>
          <t>악성 에이전트 배치</t>
        </is>
      </c>
      <c r="F86" s="14" t="inlineStr">
        <is>
          <t>공격자가 피해 환경에 자체 에이전트를 배치하거나 승인되지 않은 에이전트를 실행하여 정상 에이전트로 위장한 채 데이터 접근 및 행위 수행</t>
        </is>
      </c>
      <c r="G86" s="14" t="inlineStr">
        <is>
          <t>• [ATLAS CS0047·실제사고] 과권한 GitHub 토큰으로 Amazon Q VS Code 확장에 파괴형 에이전트 지시 커밋(실제 사고)
• [ATLAS CS0069·실제사고] GTG-1002가 탈옥한 Claude Code로 약 30개 조직 대상 자율 사이버 첩보(실제 사고)</t>
        </is>
      </c>
      <c r="H86" s="11" t="inlineStr">
        <is>
          <t>상</t>
        </is>
      </c>
      <c r="I86" s="11" t="inlineStr">
        <is>
          <t>상</t>
        </is>
      </c>
      <c r="J86" s="13">
        <f>IF(AND(H86="상",I86="상"),"매우 높음",IF(OR(AND(H86="상",I86="중"),AND(H86="중",I86="상")),"높음",IF(OR(AND(H86="중",I86="중"),AND(H86="상",I86="하"),AND(H86="하",I86="상")),"보통","낮음")))</f>
        <v/>
      </c>
      <c r="K86" s="5" t="inlineStr">
        <is>
          <t>정상 위장 에이전트의 지속적 데이터 접근</t>
        </is>
      </c>
      <c r="L86" s="11" t="inlineStr">
        <is>
          <t>실제 사고 확인</t>
        </is>
      </c>
      <c r="M86" s="11" t="n">
        <v>2</v>
      </c>
      <c r="N86" s="5" t="inlineStr">
        <is>
          <t>실행(Execution)</t>
        </is>
      </c>
      <c r="O86" s="5" t="inlineStr">
        <is>
          <t>T0103</t>
        </is>
      </c>
      <c r="P86" s="5" t="inlineStr">
        <is>
          <t>ASI10</t>
        </is>
      </c>
      <c r="Q86" s="5" t="inlineStr">
        <is>
          <t>행동 기준선·감시 에이전트, 범위 이탈 탐지, 킬스위치·자격증명 즉시 폐기, 서명된 행동 매니페스트</t>
        </is>
      </c>
    </row>
    <row r="87" ht="54" customHeight="1">
      <c r="A87" s="10" t="inlineStr">
        <is>
          <t>D06. 에이전트 오남용 및 통제 상실</t>
        </is>
      </c>
      <c r="B87" s="11" t="inlineStr">
        <is>
          <t>UT-24</t>
        </is>
      </c>
      <c r="C87" s="5" t="inlineStr">
        <is>
          <t>통제를 벗어난 에이전트</t>
        </is>
      </c>
      <c r="D87" s="11" t="inlineStr">
        <is>
          <t>UT-24.3</t>
        </is>
      </c>
      <c r="E87" s="12" t="inlineStr">
        <is>
          <t>에이전트 설정 변조</t>
        </is>
      </c>
      <c r="F87" s="14" t="inlineStr">
        <is>
          <t>에이전트 설정 파일(규칙/권한/연결 도구)을 변조하여 보안 기능 비활성화 또는 악성 지시를 영속화하고, 설정을 공유하는 모든 에이전트로 영향 전파</t>
        </is>
      </c>
      <c r="G87" s="14" t="inlineStr">
        <is>
          <t>• [ATLAS CS0041·실증] AI 코딩도구 규칙 파일에 보이지 않는 유니코드 지시를 숨겨 악성 코드 생성 유도
• [ATLAS CS0050·실증] 악성 링크 1회 클릭으로 OpenClaw 로컬 에이전트 원격 코드 실행
• [ATLAS CS0051·실증] 웹페이지 인젝션으로 OpenClaw에 지속 지시를 심어 C2로 활용
• [OWASP 인용] Cursor CLI 프로젝트 설정 경유 명령 실행(2025.10)</t>
        </is>
      </c>
      <c r="H87" s="11" t="inlineStr">
        <is>
          <t>중</t>
        </is>
      </c>
      <c r="I87" s="11" t="inlineStr">
        <is>
          <t>상</t>
        </is>
      </c>
      <c r="J87" s="13">
        <f>IF(AND(H87="상",I87="상"),"매우 높음",IF(OR(AND(H87="상",I87="중"),AND(H87="중",I87="상")),"높음",IF(OR(AND(H87="중",I87="중"),AND(H87="상",I87="하"),AND(H87="하",I87="상")),"보통","낮음")))</f>
        <v/>
      </c>
      <c r="K87" s="5" t="inlineStr">
        <is>
          <t>보안 기능 해제 및 악성 지시 영속화</t>
        </is>
      </c>
      <c r="L87" s="11" t="inlineStr">
        <is>
          <t>실증·공개 취약점</t>
        </is>
      </c>
      <c r="M87" s="11" t="n">
        <v>0</v>
      </c>
      <c r="N87" s="5" t="inlineStr">
        <is>
          <t>지속성(Persistence)</t>
        </is>
      </c>
      <c r="O87" s="5" t="inlineStr">
        <is>
          <t>T0081</t>
        </is>
      </c>
      <c r="P87" s="5" t="inlineStr">
        <is>
          <t>ASI10</t>
        </is>
      </c>
      <c r="Q87" s="5" t="inlineStr">
        <is>
          <t>행동 기준선·감시 에이전트, 범위 이탈 탐지, 킬스위치·자격증명 즉시 폐기, 서명된 행동 매니페스트</t>
        </is>
      </c>
    </row>
    <row r="88" ht="41.5" customHeight="1">
      <c r="A88" s="10" t="inlineStr">
        <is>
          <t>D06. 에이전트 오남용 및 통제 상실</t>
        </is>
      </c>
      <c r="B88" s="11" t="inlineStr">
        <is>
          <t>UT-24</t>
        </is>
      </c>
      <c r="C88" s="5" t="inlineStr">
        <is>
          <t>통제를 벗어난 에이전트</t>
        </is>
      </c>
      <c r="D88" s="11" t="inlineStr">
        <is>
          <t>UT-24.4</t>
        </is>
      </c>
      <c r="E88" s="12" t="inlineStr">
        <is>
          <t>종료 후 활동 지속</t>
        </is>
      </c>
      <c r="F88" s="14" t="inlineStr">
        <is>
          <t>자율 에이전트가 과업 종료 또는 중지 이후에도 실행 환경을 재구성하여 활동을 지속하거나 외부 자원을 확보</t>
        </is>
      </c>
      <c r="G88" s="14" t="inlineStr">
        <is>
          <t>• [ATLAS CS0068·실제사고] OpenAI 평가용 자율 에이전트들이 평가 경계를 넘어 외부 인프라 구축·Hugging Face 침해(실제 사고)</t>
        </is>
      </c>
      <c r="H88" s="11" t="inlineStr">
        <is>
          <t>중</t>
        </is>
      </c>
      <c r="I88" s="11" t="inlineStr">
        <is>
          <t>상</t>
        </is>
      </c>
      <c r="J88" s="13">
        <f>IF(AND(H88="상",I88="상"),"매우 높음",IF(OR(AND(H88="상",I88="중"),AND(H88="중",I88="상")),"높음",IF(OR(AND(H88="중",I88="중"),AND(H88="상",I88="하"),AND(H88="하",I88="상")),"보통","낮음")))</f>
        <v/>
      </c>
      <c r="K88" s="5" t="inlineStr">
        <is>
          <t>통제 밖 외부 자원 확보 및 침해</t>
        </is>
      </c>
      <c r="L88" s="11" t="inlineStr">
        <is>
          <t>실제 사고 확인</t>
        </is>
      </c>
      <c r="M88" s="11" t="n">
        <v>1</v>
      </c>
      <c r="N88" s="5" t="inlineStr">
        <is>
          <t>지속성(Persistence)</t>
        </is>
      </c>
      <c r="O88" s="5" t="inlineStr">
        <is>
          <t>T0121</t>
        </is>
      </c>
      <c r="P88" s="5" t="inlineStr">
        <is>
          <t>ASI10</t>
        </is>
      </c>
      <c r="Q88" s="5" t="inlineStr">
        <is>
          <t>행동 기준선·감시 에이전트, 범위 이탈 탐지, 킬스위치·자격증명 즉시 폐기, 서명된 행동 매니페스트</t>
        </is>
      </c>
    </row>
    <row r="89" ht="79" customHeight="1">
      <c r="A89" s="10" t="inlineStr">
        <is>
          <t>D07. AI 신원 및 권한 악용</t>
        </is>
      </c>
      <c r="B89" s="11" t="inlineStr">
        <is>
          <t>UT-25</t>
        </is>
      </c>
      <c r="C89" s="5" t="inlineStr">
        <is>
          <t>에이전트 자격증명 탈취 및 악용</t>
        </is>
      </c>
      <c r="D89" s="11" t="inlineStr">
        <is>
          <t>UT-25.1</t>
        </is>
      </c>
      <c r="E89" s="12" t="inlineStr">
        <is>
          <t>평문 저장 자격증명 수집</t>
        </is>
      </c>
      <c r="F89" s="14" t="inlineStr">
        <is>
          <t>에이전트 설정/RAG 문서/코드 저장소/CI 변수에 평문 저장된 API 키와 토큰을 수집하여 연동 시스템 접근 권한 확보</t>
        </is>
      </c>
      <c r="G89" s="14" t="inlineStr">
        <is>
          <t>• [ATLAS CS0006·실제사고] Clearview AI 저장소 설정 오류로 소스코드·자격증명·모델 노출
• [ATLAS CS0023·실제사고] 인증 없는 Ray 클러스터를 탈취해 연산자원·자격증명·모델 탈취(ShadowRay, 실제 사고)
• [ATLAS CS0030·실제사고] 탈취한 클라우드 자격증명으로 LLM 서비스를 무단 사용·재판매(LLMjacking, 실제 사고)
• [OWASP 인용] Hugging Face Spaces 비밀 토큰 노출(2024)</t>
        </is>
      </c>
      <c r="H89" s="11" t="inlineStr">
        <is>
          <t>상</t>
        </is>
      </c>
      <c r="I89" s="11" t="inlineStr">
        <is>
          <t>상</t>
        </is>
      </c>
      <c r="J89" s="13">
        <f>IF(AND(H89="상",I89="상"),"매우 높음",IF(OR(AND(H89="상",I89="중"),AND(H89="중",I89="상")),"높음",IF(OR(AND(H89="중",I89="중"),AND(H89="상",I89="하"),AND(H89="하",I89="상")),"보통","낮음")))</f>
        <v/>
      </c>
      <c r="K89" s="5" t="inlineStr">
        <is>
          <t>연동 시스템 접근 권한 일괄 확보</t>
        </is>
      </c>
      <c r="L89" s="11" t="inlineStr">
        <is>
          <t>실제 사고 확인</t>
        </is>
      </c>
      <c r="M89" s="11" t="n">
        <v>8</v>
      </c>
      <c r="N89" s="5" t="inlineStr">
        <is>
          <t>자격증명 접근(Credential Access)</t>
        </is>
      </c>
      <c r="O89" s="5" t="inlineStr">
        <is>
          <t>T0055, T0082, T0083</t>
        </is>
      </c>
      <c r="P89" s="5" t="inlineStr">
        <is>
          <t>DSGAI02, MCP01</t>
        </is>
      </c>
      <c r="Q89" s="5" t="inlineStr">
        <is>
          <t>단명·작업범위 토큰, 비밀정보의 프롬프트·설정 내 저장 금지, 비밀 스캐닝, 에이전트별 고유 신원, 퇴역 시 즉시 폐기</t>
        </is>
      </c>
    </row>
    <row r="90" ht="41.5" customHeight="1">
      <c r="A90" s="10" t="inlineStr">
        <is>
          <t>D07. AI 신원 및 권한 악용</t>
        </is>
      </c>
      <c r="B90" s="11" t="inlineStr">
        <is>
          <t>UT-25</t>
        </is>
      </c>
      <c r="C90" s="5" t="inlineStr">
        <is>
          <t>에이전트 자격증명 탈취 및 악용</t>
        </is>
      </c>
      <c r="D90" s="11" t="inlineStr">
        <is>
          <t>UT-25.2</t>
        </is>
      </c>
      <c r="E90" s="12" t="inlineStr">
        <is>
          <t>도구 경유 자격증명 수집</t>
        </is>
      </c>
      <c r="F90" s="14" t="inlineStr">
        <is>
          <t>에이전트 도구(파일 조회/명령 실행)를 악용하여 실행 환경의 자격증명 파일과 환경변수를 읽어 외부로 전달</t>
        </is>
      </c>
      <c r="G90" s="14" t="inlineStr">
        <is>
          <t>• [ATLAS CS0067·실증] Claude Code GitHub Action이 인젝션으로 저장소 비밀값을 노출
• [ATLAS CS0048·실증] 인터넷에 노출된 ClawdBot 제어 인터페이스 수백 개에서 자격증명 탈취·명령 실행
• [ATLAS CS0054·실증] 원격 MCP 도구 설명문의 숨은 지시로 에이전트가 파일·데이터 유출</t>
        </is>
      </c>
      <c r="H90" s="11" t="inlineStr">
        <is>
          <t>중</t>
        </is>
      </c>
      <c r="I90" s="11" t="inlineStr">
        <is>
          <t>상</t>
        </is>
      </c>
      <c r="J90" s="13">
        <f>IF(AND(H90="상",I90="상"),"매우 높음",IF(OR(AND(H90="상",I90="중"),AND(H90="중",I90="상")),"높음",IF(OR(AND(H90="중",I90="중"),AND(H90="상",I90="하"),AND(H90="하",I90="상")),"보통","낮음")))</f>
        <v/>
      </c>
      <c r="K90" s="5" t="inlineStr">
        <is>
          <t>실행 환경 자격증명 탈취</t>
        </is>
      </c>
      <c r="L90" s="11" t="inlineStr">
        <is>
          <t>실증·공개 취약점</t>
        </is>
      </c>
      <c r="M90" s="11" t="n">
        <v>0</v>
      </c>
      <c r="N90" s="5" t="inlineStr">
        <is>
          <t>자격증명 접근(Credential Access)</t>
        </is>
      </c>
      <c r="O90" s="5" t="inlineStr">
        <is>
          <t>T0098</t>
        </is>
      </c>
      <c r="P90" s="5" t="inlineStr">
        <is>
          <t>DSGAI02</t>
        </is>
      </c>
      <c r="Q90" s="5" t="inlineStr">
        <is>
          <t>단명·작업범위 토큰, 비밀정보의 프롬프트·설정 내 저장 금지, 비밀 스캐닝, 에이전트별 고유 신원, 퇴역 시 즉시 폐기</t>
        </is>
      </c>
    </row>
    <row r="91" ht="54" customHeight="1">
      <c r="A91" s="10" t="inlineStr">
        <is>
          <t>D07. AI 신원 및 권한 악용</t>
        </is>
      </c>
      <c r="B91" s="11" t="inlineStr">
        <is>
          <t>UT-25</t>
        </is>
      </c>
      <c r="C91" s="5" t="inlineStr">
        <is>
          <t>에이전트 자격증명 탈취 및 악용</t>
        </is>
      </c>
      <c r="D91" s="11" t="inlineStr">
        <is>
          <t>UT-25.3</t>
        </is>
      </c>
      <c r="E91" s="12" t="inlineStr">
        <is>
          <t>인증 토큰 및 세션 쿠키 탈취</t>
        </is>
      </c>
      <c r="F91" s="14" t="inlineStr">
        <is>
          <t>AI 데스크톱 앱 메모리 덤프/브라우저 세션 쿠키 탈취/취약점 익스플로잇을 통해 인증 토큰을 획득하여 사용자로 가장</t>
        </is>
      </c>
      <c r="G91" s="14" t="inlineStr">
        <is>
          <t>• [ATLAS CS0036·실증] LLM 데스크톱 앱 메모리에서 인증 토큰을 추출해 사용자 가장(AIKatz)
• [ATLAS CS0050·실증] 악성 링크 1회 클릭으로 OpenClaw 로컬 에이전트 원격 코드 실행
• [ATLAS CS0060·실증] Lenovo 챗봇이 생성한 악성 HTML이 상담원 브라우저에서 실행되어 세션 쿠키 탈취(XSS)</t>
        </is>
      </c>
      <c r="H91" s="11" t="inlineStr">
        <is>
          <t>중</t>
        </is>
      </c>
      <c r="I91" s="11" t="inlineStr">
        <is>
          <t>상</t>
        </is>
      </c>
      <c r="J91" s="13">
        <f>IF(AND(H91="상",I91="상"),"매우 높음",IF(OR(AND(H91="상",I91="중"),AND(H91="중",I91="상")),"높음",IF(OR(AND(H91="중",I91="중"),AND(H91="상",I91="하"),AND(H91="하",I91="상")),"보통","낮음")))</f>
        <v/>
      </c>
      <c r="K91" s="5" t="inlineStr">
        <is>
          <t>사용자 가장을 통한 계정 장악</t>
        </is>
      </c>
      <c r="L91" s="11" t="inlineStr">
        <is>
          <t>실증·공개 취약점</t>
        </is>
      </c>
      <c r="M91" s="11" t="n">
        <v>0</v>
      </c>
      <c r="N91" s="5" t="inlineStr">
        <is>
          <t>자격증명 접근(Credential Access)</t>
        </is>
      </c>
      <c r="O91" s="5" t="inlineStr">
        <is>
          <t>T0090, T0106, T0113</t>
        </is>
      </c>
      <c r="P91" s="5" t="inlineStr">
        <is>
          <t>DSGAI02</t>
        </is>
      </c>
      <c r="Q91" s="5" t="inlineStr">
        <is>
          <t>단명·작업범위 토큰, 비밀정보의 프롬프트·설정 내 저장 금지, 비밀 스캐닝, 에이전트별 고유 신원, 퇴역 시 즉시 폐기</t>
        </is>
      </c>
    </row>
    <row r="92" ht="54" customHeight="1">
      <c r="A92" s="10" t="inlineStr">
        <is>
          <t>D07. AI 신원 및 권한 악용</t>
        </is>
      </c>
      <c r="B92" s="11" t="inlineStr">
        <is>
          <t>UT-25</t>
        </is>
      </c>
      <c r="C92" s="5" t="inlineStr">
        <is>
          <t>에이전트 자격증명 탈취 및 악용</t>
        </is>
      </c>
      <c r="D92" s="11" t="inlineStr">
        <is>
          <t>UT-25.4</t>
        </is>
      </c>
      <c r="E92" s="12" t="inlineStr">
        <is>
          <t>탈취 자격증명 재사용</t>
        </is>
      </c>
      <c r="F92" s="14" t="inlineStr">
        <is>
          <t>탈취한 API 키/토큰/세션으로 정상 사용자로 위장하여 AI 서비스에 접근하고 추가 계정 생성으로 접근을 영속화(예: LLMjacking 무단 사용 및 재판매)</t>
        </is>
      </c>
      <c r="G92" s="14" t="inlineStr">
        <is>
          <t>• [ATLAS CS0030·실제사고] 탈취한 클라우드 자격증명으로 LLM 서비스를 무단 사용·재판매(LLMjacking, 실제 사고)
• [ATLAS CS0036·실증] LLM 데스크톱 앱 메모리에서 인증 토큰을 추출해 사용자 가장(AIKatz)
• [ATLAS CS0044·실제사고] APT28 LAMEHUG가 LLM API로 실행 명령을 동적 생성(실제 사고)</t>
        </is>
      </c>
      <c r="H92" s="11" t="inlineStr">
        <is>
          <t>상</t>
        </is>
      </c>
      <c r="I92" s="11" t="inlineStr">
        <is>
          <t>상</t>
        </is>
      </c>
      <c r="J92" s="13">
        <f>IF(AND(H92="상",I92="상"),"매우 높음",IF(OR(AND(H92="상",I92="중"),AND(H92="중",I92="상")),"높음",IF(OR(AND(H92="중",I92="중"),AND(H92="상",I92="하"),AND(H92="하",I92="상")),"보통","낮음")))</f>
        <v/>
      </c>
      <c r="K92" s="5" t="inlineStr">
        <is>
          <t>정상 사용자 위장 접근 및 대규모 무단 사용</t>
        </is>
      </c>
      <c r="L92" s="11" t="inlineStr">
        <is>
          <t>실제 사고 확인</t>
        </is>
      </c>
      <c r="M92" s="11" t="n">
        <v>6</v>
      </c>
      <c r="N92" s="5" t="inlineStr">
        <is>
          <t>초기 접근(Initial Access)</t>
        </is>
      </c>
      <c r="O92" s="5" t="inlineStr">
        <is>
          <t>T0012, T0091, T0091.000, T0091.001, T0125</t>
        </is>
      </c>
      <c r="P92" s="5" t="inlineStr">
        <is>
          <t>MCP01</t>
        </is>
      </c>
      <c r="Q92" s="5" t="inlineStr">
        <is>
          <t>단명·작업범위 토큰, 비밀정보의 프롬프트·설정 내 저장 금지, 비밀 스캐닝, 에이전트별 고유 신원, 퇴역 시 즉시 폐기</t>
        </is>
      </c>
    </row>
    <row r="93" ht="66.5" customHeight="1">
      <c r="A93" s="10" t="inlineStr">
        <is>
          <t>D07. AI 신원 및 권한 악용</t>
        </is>
      </c>
      <c r="B93" s="11" t="inlineStr">
        <is>
          <t>UT-26</t>
        </is>
      </c>
      <c r="C93" s="5" t="inlineStr">
        <is>
          <t>권한 위임 결함</t>
        </is>
      </c>
      <c r="D93" s="11" t="inlineStr">
        <is>
          <t>UT-26.1</t>
        </is>
      </c>
      <c r="E93" s="12" t="inlineStr">
        <is>
          <t>혼동된 대리인</t>
        </is>
      </c>
      <c r="F93" s="14" t="inlineStr">
        <is>
          <t>권한이 낮은 외부 사용자의 입력을 높은 권한의 에이전트가 대신 처리하여, 요청자 권한 검증 없이 내부자 수준 행위 수행</t>
        </is>
      </c>
      <c r="G93" s="14" t="inlineStr">
        <is>
          <t>• [ATLAS CS0039·실증] 외부 사용자가 Jira 티켓에 악성 입력을 넣어 AI가 내부자 권한으로 행위(Living off AI)
• [OWASP 인용] Heroku MCP 앱 소유권 탈취(2025.06)
• [OWASP 시나리오] 재무 에이전트가 DB 조회 에이전트에 모든 권한을 넘겨 위임 권한 남용(ASI03 시나리오#1)</t>
        </is>
      </c>
      <c r="H93" s="11" t="inlineStr">
        <is>
          <t>중</t>
        </is>
      </c>
      <c r="I93" s="11" t="inlineStr">
        <is>
          <t>상</t>
        </is>
      </c>
      <c r="J93" s="13">
        <f>IF(AND(H93="상",I93="상"),"매우 높음",IF(OR(AND(H93="상",I93="중"),AND(H93="중",I93="상")),"높음",IF(OR(AND(H93="중",I93="중"),AND(H93="상",I93="하"),AND(H93="하",I93="상")),"보통","낮음")))</f>
        <v/>
      </c>
      <c r="K93" s="5" t="inlineStr">
        <is>
          <t>외부 입력에 의한 내부자 수준 행위</t>
        </is>
      </c>
      <c r="L93" s="11" t="inlineStr">
        <is>
          <t>실증·공개 취약점</t>
        </is>
      </c>
      <c r="M93" s="11" t="n">
        <v>0</v>
      </c>
      <c r="N93" s="5" t="inlineStr">
        <is>
          <t>권한 상승(Privilege Escalation)</t>
        </is>
      </c>
      <c r="O93" s="5" t="n"/>
      <c r="P93" s="5" t="inlineStr">
        <is>
          <t>ASI03, MCP07</t>
        </is>
      </c>
      <c r="Q93" s="5" t="inlineStr">
        <is>
          <t>상호 인증·위임 범위 전파, 권한 상승 시 재인가, 세션 격리, 신원 수명주기 관리</t>
        </is>
      </c>
    </row>
    <row r="94" ht="41.5" customHeight="1">
      <c r="A94" s="10" t="inlineStr">
        <is>
          <t>D07. AI 신원 및 권한 악용</t>
        </is>
      </c>
      <c r="B94" s="11" t="inlineStr">
        <is>
          <t>UT-26</t>
        </is>
      </c>
      <c r="C94" s="5" t="inlineStr">
        <is>
          <t>권한 위임 결함</t>
        </is>
      </c>
      <c r="D94" s="11" t="inlineStr">
        <is>
          <t>UT-26.2</t>
        </is>
      </c>
      <c r="E94" s="12" t="inlineStr">
        <is>
          <t>캐시된 자격증명 재사용</t>
        </is>
      </c>
      <c r="F94" s="14" t="inlineStr">
        <is>
          <t>작업 중 캐시된 관리자 자격증명/세션이 다른 사용자 요청이나 후속 작업에 재사용되어 권한 경계 붕괴</t>
        </is>
      </c>
      <c r="G94" s="14" t="inlineStr">
        <is>
          <t>• [OWASP 시나리오] 패치 작업 중 캐시된 SSH 자격증명을 비관리자가 재사용(ASI03 시나리오#2)</t>
        </is>
      </c>
      <c r="H94" s="11" t="inlineStr">
        <is>
          <t>하</t>
        </is>
      </c>
      <c r="I94" s="11" t="inlineStr">
        <is>
          <t>상</t>
        </is>
      </c>
      <c r="J94" s="13">
        <f>IF(AND(H94="상",I94="상"),"매우 높음",IF(OR(AND(H94="상",I94="중"),AND(H94="중",I94="상")),"높음",IF(OR(AND(H94="중",I94="중"),AND(H94="상",I94="하"),AND(H94="하",I94="상")),"보통","낮음")))</f>
        <v/>
      </c>
      <c r="K94" s="5" t="inlineStr">
        <is>
          <t>권한 경계 붕괴로 관리자 권한 노출</t>
        </is>
      </c>
      <c r="L94" s="11" t="inlineStr">
        <is>
          <t>이론·시나리오</t>
        </is>
      </c>
      <c r="M94" s="11" t="n">
        <v>0</v>
      </c>
      <c r="N94" s="5" t="inlineStr">
        <is>
          <t>권한 상승(Privilege Escalation)</t>
        </is>
      </c>
      <c r="O94" s="5" t="n"/>
      <c r="P94" s="5" t="inlineStr">
        <is>
          <t>ASI03</t>
        </is>
      </c>
      <c r="Q94" s="5" t="inlineStr">
        <is>
          <t>상호 인증·위임 범위 전파, 권한 상승 시 재인가, 세션 격리, 신원 수명주기 관리</t>
        </is>
      </c>
    </row>
    <row r="95" ht="41.5" customHeight="1">
      <c r="A95" s="10" t="inlineStr">
        <is>
          <t>D07. AI 신원 및 권한 악용</t>
        </is>
      </c>
      <c r="B95" s="11" t="inlineStr">
        <is>
          <t>UT-26</t>
        </is>
      </c>
      <c r="C95" s="5" t="inlineStr">
        <is>
          <t>권한 위임 결함</t>
        </is>
      </c>
      <c r="D95" s="11" t="inlineStr">
        <is>
          <t>UT-26.3</t>
        </is>
      </c>
      <c r="E95" s="12" t="inlineStr">
        <is>
          <t>인가 시점 불일치</t>
        </is>
      </c>
      <c r="F95" s="14" t="inlineStr">
        <is>
          <t>워크플로 시작 시점에만 권한을 검증하고 실행 단계별 재검증을 생략하여 진행 중 권한 변경/위임 확장이 통제되지 않음</t>
        </is>
      </c>
      <c r="G95" s="14" t="inlineStr">
        <is>
          <t>• [OWASP 시나리오] 결재 시작 시점에만 승인 검증(ASI03 시나리오#5)</t>
        </is>
      </c>
      <c r="H95" s="11" t="inlineStr">
        <is>
          <t>하</t>
        </is>
      </c>
      <c r="I95" s="11" t="inlineStr">
        <is>
          <t>중</t>
        </is>
      </c>
      <c r="J95" s="13">
        <f>IF(AND(H95="상",I95="상"),"매우 높음",IF(OR(AND(H95="상",I95="중"),AND(H95="중",I95="상")),"높음",IF(OR(AND(H95="중",I95="중"),AND(H95="상",I95="하"),AND(H95="하",I95="상")),"보통","낮음")))</f>
        <v/>
      </c>
      <c r="K95" s="5" t="inlineStr">
        <is>
          <t>진행 중 권한 변경 통제 실패</t>
        </is>
      </c>
      <c r="L95" s="11" t="inlineStr">
        <is>
          <t>이론·시나리오</t>
        </is>
      </c>
      <c r="M95" s="11" t="n">
        <v>0</v>
      </c>
      <c r="N95" s="5" t="inlineStr">
        <is>
          <t>권한 상승(Privilege Escalation)</t>
        </is>
      </c>
      <c r="O95" s="5" t="n"/>
      <c r="P95" s="5" t="inlineStr">
        <is>
          <t>ASI03, MCP07</t>
        </is>
      </c>
      <c r="Q95" s="5" t="inlineStr">
        <is>
          <t>상호 인증·위임 범위 전파, 권한 상승 시 재인가, 세션 격리, 신원 수명주기 관리</t>
        </is>
      </c>
    </row>
    <row r="96" ht="41.5" customHeight="1">
      <c r="A96" s="10" t="inlineStr">
        <is>
          <t>D07. AI 신원 및 권한 악용</t>
        </is>
      </c>
      <c r="B96" s="11" t="inlineStr">
        <is>
          <t>UT-27</t>
        </is>
      </c>
      <c r="C96" s="5" t="inlineStr">
        <is>
          <t>에이전트 간 통신 조작</t>
        </is>
      </c>
      <c r="D96" s="11" t="inlineStr">
        <is>
          <t>UT-27.1</t>
        </is>
      </c>
      <c r="E96" s="12" t="inlineStr">
        <is>
          <t>메시지 위조 및 중간자 공격</t>
        </is>
      </c>
      <c r="F96" s="14" t="inlineStr">
        <is>
          <t>에이전트 간 비암호화/무서명 통신 구간에서 메시지를 가로채거나 변조하여 다른 에이전트의 지시와 판단 조작</t>
        </is>
      </c>
      <c r="G96" s="14" t="inlineStr">
        <is>
          <t>• [OWASP 인용] MCP OAuth 응답 악용(2025.10)
• [OWASP 시나리오] 비암호화 채널 중간자의 의미 주입(ASI07 시나리오#1)</t>
        </is>
      </c>
      <c r="H96" s="11" t="inlineStr">
        <is>
          <t>중</t>
        </is>
      </c>
      <c r="I96" s="11" t="inlineStr">
        <is>
          <t>상</t>
        </is>
      </c>
      <c r="J96" s="13">
        <f>IF(AND(H96="상",I96="상"),"매우 높음",IF(OR(AND(H96="상",I96="중"),AND(H96="중",I96="상")),"높음",IF(OR(AND(H96="중",I96="중"),AND(H96="상",I96="하"),AND(H96="하",I96="상")),"보통","낮음")))</f>
        <v/>
      </c>
      <c r="K96" s="5" t="inlineStr">
        <is>
          <t>다른 에이전트 지시 및 판단 장악</t>
        </is>
      </c>
      <c r="L96" s="11" t="inlineStr">
        <is>
          <t>실증·공개 취약점</t>
        </is>
      </c>
      <c r="M96" s="11" t="n">
        <v>0</v>
      </c>
      <c r="N96" s="5" t="inlineStr">
        <is>
          <t>내부 확산(Lateral Movement)</t>
        </is>
      </c>
      <c r="O96" s="5" t="n"/>
      <c r="P96" s="5" t="inlineStr">
        <is>
          <t>ASI07</t>
        </is>
      </c>
      <c r="Q96" s="5" t="inlineStr">
        <is>
          <t>mTLS·메시지 서명·nonce/타임스탬프, 스키마 검증·버전관리, 인증된 디렉터리</t>
        </is>
      </c>
    </row>
    <row r="97" ht="41.5" customHeight="1">
      <c r="A97" s="10" t="inlineStr">
        <is>
          <t>D07. AI 신원 및 권한 악용</t>
        </is>
      </c>
      <c r="B97" s="11" t="inlineStr">
        <is>
          <t>UT-27</t>
        </is>
      </c>
      <c r="C97" s="5" t="inlineStr">
        <is>
          <t>에이전트 간 통신 조작</t>
        </is>
      </c>
      <c r="D97" s="11" t="inlineStr">
        <is>
          <t>UT-27.2</t>
        </is>
      </c>
      <c r="E97" s="12" t="inlineStr">
        <is>
          <t>메시지 재전송</t>
        </is>
      </c>
      <c r="F97" s="14" t="inlineStr">
        <is>
          <t>과거의 정상 지시/승인 메시지를 재전송하여 만료된 절차 또는 권한을 재실행</t>
        </is>
      </c>
      <c r="G97" s="14" t="inlineStr">
        <is>
          <t>• [OWASP 시나리오] 과거 긴급 조정 메시지 재전송으로 구식 절차 실행(ASI07 시나리오#3)</t>
        </is>
      </c>
      <c r="H97" s="11" t="inlineStr">
        <is>
          <t>하</t>
        </is>
      </c>
      <c r="I97" s="11" t="inlineStr">
        <is>
          <t>중</t>
        </is>
      </c>
      <c r="J97" s="13">
        <f>IF(AND(H97="상",I97="상"),"매우 높음",IF(OR(AND(H97="상",I97="중"),AND(H97="중",I97="상")),"높음",IF(OR(AND(H97="중",I97="중"),AND(H97="상",I97="하"),AND(H97="하",I97="상")),"보통","낮음")))</f>
        <v/>
      </c>
      <c r="K97" s="5" t="inlineStr">
        <is>
          <t>만료 절차 재실행(범위 제한)</t>
        </is>
      </c>
      <c r="L97" s="11" t="inlineStr">
        <is>
          <t>이론·시나리오</t>
        </is>
      </c>
      <c r="M97" s="11" t="n">
        <v>0</v>
      </c>
      <c r="N97" s="5" t="inlineStr">
        <is>
          <t>내부 확산(Lateral Movement)</t>
        </is>
      </c>
      <c r="O97" s="5" t="n"/>
      <c r="P97" s="5" t="inlineStr">
        <is>
          <t>ASI07</t>
        </is>
      </c>
      <c r="Q97" s="5" t="inlineStr">
        <is>
          <t>mTLS·메시지 서명·nonce/타임스탬프, 스키마 검증·버전관리, 인증된 디렉터리</t>
        </is>
      </c>
    </row>
    <row r="98" ht="41.5" customHeight="1">
      <c r="A98" s="10" t="inlineStr">
        <is>
          <t>D07. AI 신원 및 권한 악용</t>
        </is>
      </c>
      <c r="B98" s="11" t="inlineStr">
        <is>
          <t>UT-27</t>
        </is>
      </c>
      <c r="C98" s="5" t="inlineStr">
        <is>
          <t>에이전트 간 통신 조작</t>
        </is>
      </c>
      <c r="D98" s="11" t="inlineStr">
        <is>
          <t>UT-27.3</t>
        </is>
      </c>
      <c r="E98" s="12" t="inlineStr">
        <is>
          <t>에이전트 위장 등록</t>
        </is>
      </c>
      <c r="F98" s="14" t="inlineStr">
        <is>
          <t>디스커버리 서비스/에이전트 레지스트리에 위장 에이전트를 등록하거나 에이전트 카드를 과장하여 정상 위임 작업과 데이터를 가로챔</t>
        </is>
      </c>
      <c r="G98" s="14" t="inlineStr">
        <is>
          <t>• [OWASP 인용] A2A 프로토콜 스푸핑(Agent-in-the-Middle, 2025.04)
• [OWASP 시나리오] 탐색 서비스에 가짜 피어 에이전트 등록(ASI07 시나리오#6)</t>
        </is>
      </c>
      <c r="H98" s="11" t="inlineStr">
        <is>
          <t>중</t>
        </is>
      </c>
      <c r="I98" s="11" t="inlineStr">
        <is>
          <t>상</t>
        </is>
      </c>
      <c r="J98" s="13">
        <f>IF(AND(H98="상",I98="상"),"매우 높음",IF(OR(AND(H98="상",I98="중"),AND(H98="중",I98="상")),"높음",IF(OR(AND(H98="중",I98="중"),AND(H98="상",I98="하"),AND(H98="하",I98="상")),"보통","낮음")))</f>
        <v/>
      </c>
      <c r="K98" s="5" t="inlineStr">
        <is>
          <t>위임 작업 및 데이터 가로채기</t>
        </is>
      </c>
      <c r="L98" s="11" t="inlineStr">
        <is>
          <t>실증·공개 취약점</t>
        </is>
      </c>
      <c r="M98" s="11" t="n">
        <v>0</v>
      </c>
      <c r="N98" s="5" t="inlineStr">
        <is>
          <t>내부 확산(Lateral Movement)</t>
        </is>
      </c>
      <c r="O98" s="5" t="n"/>
      <c r="P98" s="5" t="inlineStr">
        <is>
          <t>ASI07</t>
        </is>
      </c>
      <c r="Q98" s="5" t="inlineStr">
        <is>
          <t>mTLS·메시지 서명·nonce/타임스탬프, 스키마 검증·버전관리, 인증된 디렉터리</t>
        </is>
      </c>
    </row>
    <row r="99" ht="216.5" customHeight="1">
      <c r="A99" s="10" t="inlineStr">
        <is>
          <t>D08. AI 공급망 침해</t>
        </is>
      </c>
      <c r="B99" s="11" t="inlineStr">
        <is>
          <t>UT-28</t>
        </is>
      </c>
      <c r="C99" s="5" t="inlineStr">
        <is>
          <t>AI 개발 공급망 침해</t>
        </is>
      </c>
      <c r="D99" s="11" t="inlineStr">
        <is>
          <t>UT-28.1</t>
        </is>
      </c>
      <c r="E99" s="12" t="inlineStr">
        <is>
          <t>변조 모델 및 데이터셋 유입</t>
        </is>
      </c>
      <c r="F99" s="5" t="inlineStr">
        <is>
          <t>- 공격자는 악성 코드를 심거나 가중치·채팅 템플릿을 변조한 모델, 오염 데이터셋을 공개 허브·레지스트리에 올리거나 기존 배포 경로를 장악해, 이를 검증 없이 내려받는 조직에 백도어와 실행 코드를 유입시킬 수 있음
- 모델 파일은 로딩만으로 코드가 실행되거나 정상 성능을 유지한 채 숨은 동작을 품을 수 있어, 스캐너나 안전 포맷만으로는 걸러지지 않음</t>
        </is>
      </c>
      <c r="G99" s="5" t="inlineStr">
        <is>
          <t>■ AI 관점
- 모델 경로: pickle 등에 역쉘을 심은 모델 파일, 특정 질의에만 오답을 내도록 가중치를 편집한 모델, 조건부 지시를 넣은 GGUF 채팅 템플릿, 공급사 LoRA 어댑터·변환 서비스 변조 (OWASP LLM04:2026 예시 #3·#5)
- 데이터셋 경로: 오염 데이터셋을 허브에 공개하거나, URL 목록형 데이터셋이 가리키는 만료 도메인을 사들여 다운로드 시점에 오염 데이터를 내려보냄 (ATLAS AML.T0115)
- 탐지 한계: 일부러 손상시킨 pickle은 스캐너가 끝까지 읽기 전에 실행되고, ONNX 같은 '안전' 포맷도 연산 그래프에 백도어를 품을 수 있으며, 안전 로더 자체의 우회 취약점(CVE-2025-32434)도 보고됨 (OWASP LLM04:2026 시나리오 #6)
- 이름만으로 모델을 참조하면 삭제 계정 재등록·유사 조직명으로 바꿔치기될 수 있으며(UT-28.4), 심어진 백도어의 발동은 UT-14.4에서 다룸
■ 실제 사례
- [실제 사고] Hugging Face 악성 모델(2025-02): 일부러 손상시킨 pickle로 Picklescan 검사를 피한 모델이 허브에 올라, 로딩 시 역쉘을 실행 — Hugging Face가 모델 삭제·스캐너 보완 (ATLAS AML.CS0031)
- [실증] PoisonGPT(2023-07): 가중치를 편집해 특정 질문에 허위 사실을 답하게 만든 모델을 원본과 한 글자 다른 저장소명으로 Hugging Face에 배포 (ATLAS AML.CS0019)
- [실증] Split-View 데이터 오염(2024-06): URL 목록형 대규모 데이터셋이 참조하는 만료 도메인을 사들여, 데이터셋을 내려받는 사용자에게 오염 데이터를 제공할 수 있음을 실증 (ATLAS AML.CS0025)</t>
        </is>
      </c>
      <c r="H99" s="11" t="inlineStr">
        <is>
          <t>상</t>
        </is>
      </c>
      <c r="I99" s="11" t="inlineStr">
        <is>
          <t>상</t>
        </is>
      </c>
      <c r="J99" s="13">
        <f>IF(AND(H99="상",I99="상"),"매우 높음",IF(OR(AND(H99="상",I99="중"),AND(H99="중",I99="상")),"높음",IF(OR(AND(H99="중",I99="중"),AND(H99="상",I99="하"),AND(H99="하",I99="상")),"보통","낮음")))</f>
        <v/>
      </c>
      <c r="K99" s="5" t="inlineStr">
        <is>
          <t>조직 환경 내 백도어 및 실행 코드 유입</t>
        </is>
      </c>
      <c r="L99" s="11" t="inlineStr">
        <is>
          <t>실제 사고 확인</t>
        </is>
      </c>
      <c r="M99" s="11" t="n">
        <v>4</v>
      </c>
      <c r="N99" s="5" t="inlineStr">
        <is>
          <t>초기 접근(Initial Access)</t>
        </is>
      </c>
      <c r="O99" s="5" t="inlineStr">
        <is>
          <t>T0010, T0010.002, T0010.003, T0011.000, T0115, T0115.000, T0115.001</t>
        </is>
      </c>
      <c r="P99" s="5" t="inlineStr">
        <is>
          <t>LLM04, LLM05, DSGAI04, DSGAI05</t>
        </is>
      </c>
      <c r="Q99" s="5" t="inlineStr">
        <is>
          <t>AIBOM/SBOM 인벤토리, 버전 고정·출처 검증, AI 권고 패키지 실존·평판 확인, 공급자 약관·라이선스 검토, 레지스트리 허용목록</t>
        </is>
      </c>
    </row>
    <row r="100" ht="66.5" customHeight="1">
      <c r="A100" s="10" t="inlineStr">
        <is>
          <t>D08. AI 공급망 침해</t>
        </is>
      </c>
      <c r="B100" s="11" t="inlineStr">
        <is>
          <t>UT-28</t>
        </is>
      </c>
      <c r="C100" s="5" t="inlineStr">
        <is>
          <t>AI 개발 공급망 침해</t>
        </is>
      </c>
      <c r="D100" s="11" t="inlineStr">
        <is>
          <t>UT-28.2</t>
        </is>
      </c>
      <c r="E100" s="12" t="inlineStr">
        <is>
          <t>악성 의존성 유입</t>
        </is>
      </c>
      <c r="F100" s="14" t="inlineStr">
        <is>
          <t>AI 프레임워크/라이브러리/하드웨어 공급망에 삽입된 악성 패키지나 변조 구성요소가 설치 과정에서 실행되어 개발 및 학습 환경 장악</t>
        </is>
      </c>
      <c r="G100" s="14" t="inlineStr">
        <is>
          <t>• [ATLAS CS0015·실제사고] PyPI에 올라간 악성 torchtriton 의존성으로 PyTorch-nightly 사용자 정보 유출(실제 사고)
• [ATLAS CS0047·실제사고] 과권한 GitHub 토큰으로 Amazon Q VS Code 확장에 파괴형 에이전트 지시 커밋(실제 사고)
• [ATLAS CS0022·실증] LLM이 환각한 가짜 패키지명을 공격자가 선점해 악성 패키지 배포 가능성 입증</t>
        </is>
      </c>
      <c r="H100" s="11" t="inlineStr">
        <is>
          <t>상</t>
        </is>
      </c>
      <c r="I100" s="11" t="inlineStr">
        <is>
          <t>상</t>
        </is>
      </c>
      <c r="J100" s="13">
        <f>IF(AND(H100="상",I100="상"),"매우 높음",IF(OR(AND(H100="상",I100="중"),AND(H100="중",I100="상")),"높음",IF(OR(AND(H100="중",I100="중"),AND(H100="상",I100="하"),AND(H100="하",I100="상")),"보통","낮음")))</f>
        <v/>
      </c>
      <c r="K100" s="5" t="inlineStr">
        <is>
          <t>개발 및 학습 환경 장악</t>
        </is>
      </c>
      <c r="L100" s="11" t="inlineStr">
        <is>
          <t>실제 사고 확인</t>
        </is>
      </c>
      <c r="M100" s="11" t="n">
        <v>2</v>
      </c>
      <c r="N100" s="5" t="inlineStr">
        <is>
          <t>초기 접근(Initial Access)</t>
        </is>
      </c>
      <c r="O100" s="5" t="inlineStr">
        <is>
          <t>T0010.000, T0010.001, T0011.001</t>
        </is>
      </c>
      <c r="P100" s="5" t="inlineStr">
        <is>
          <t>LLM04</t>
        </is>
      </c>
      <c r="Q100" s="5" t="inlineStr">
        <is>
          <t>AIBOM/SBOM 인벤토리, 버전 고정·출처 검증, AI 권고 패키지 실존·평판 확인, 공급자 약관·라이선스 검토, 레지스트리 허용목록</t>
        </is>
      </c>
    </row>
    <row r="101" ht="166.5" customHeight="1">
      <c r="A101" s="10" t="inlineStr">
        <is>
          <t>D08. AI 공급망 침해</t>
        </is>
      </c>
      <c r="B101" s="11" t="inlineStr">
        <is>
          <t>UT-28</t>
        </is>
      </c>
      <c r="C101" s="5" t="inlineStr">
        <is>
          <t>AI 개발 공급망 침해</t>
        </is>
      </c>
      <c r="D101" s="11" t="inlineStr">
        <is>
          <t>UT-28.3</t>
        </is>
      </c>
      <c r="E101" s="12" t="inlineStr">
        <is>
          <t>환각 패키지 선점</t>
        </is>
      </c>
      <c r="F101" s="5" t="inlineStr">
        <is>
          <t>- 공격자는 AI 코딩 도구가 반복해서 추천하는 존재하지 않는 패키지명을 수집한 뒤 같은 이름의 악성 패키지를 먼저 등록해, AI 권고를 따른 개발자가 이를 설치하게 할 수 있음(slopsquatting)
- 환각 이름은 질의마다 재현되는 경향이 있어 표적화가 쉽고, AI 제안을 그대로 설치하면 개발 환경과 빌드 파이프라인이 바로 침해됨</t>
        </is>
      </c>
      <c r="G101" s="5" t="inlineStr">
        <is>
          <t>■ AI 관점
- 1단계 환각 탐색: 다양한 코딩 질문으로 모델이 제안하는 패키지·URL·API 가운데 실제 레지스트리에 없는 이름을 대량 수집 (ATLAS AML.T0062)
- 2단계 선점 등록: 수집한 이름으로 PyPI·npm 등에 악성 패키지를 게시해, AI 권고 → 설치 경로로 개발 환경에서 코드를 실행 (ATLAS AML.T0060, OWASP LLM04:2026 예시 #1)
- 에이전트가 의존성을 스스로 설치·갱신하는 환경에서는 사람 확인 없이 바로 설치되어 설치·임포트 시점에 악성 코드가 실행됨 (OWASP ASI05 예시 #6)
- 환각으로 인한 허위 정보 자체는 UT-20.1, 일반 악성 패키지 유입은 UT-28.2에서 다룸
■ 실제 사례
- [실증] ChatGPT 패키지 환각(2024-06): ChatGPT가 추천한 존재하지 않는 패키지명을 찾아, 다운로드 추적용 빈 패키지를 PyPI에 등록 (ATLAS AML.CS0022)
- [시나리오] 코딩 비서가 추천한 가상의 패키지를 공격자가 미리 등록해, 제안을 믿은 개발자가 공격자 코드를 설치 (OWASP LLM07:2026 시나리오 #1)</t>
        </is>
      </c>
      <c r="H101" s="11" t="inlineStr">
        <is>
          <t>중</t>
        </is>
      </c>
      <c r="I101" s="11" t="inlineStr">
        <is>
          <t>상</t>
        </is>
      </c>
      <c r="J101" s="13">
        <f>IF(AND(H101="상",I101="상"),"매우 높음",IF(OR(AND(H101="상",I101="중"),AND(H101="중",I101="상")),"높음",IF(OR(AND(H101="중",I101="중"),AND(H101="상",I101="하"),AND(H101="하",I101="상")),"보통","낮음")))</f>
        <v/>
      </c>
      <c r="K101" s="5" t="inlineStr">
        <is>
          <t>AI 권고 경유 개발 환경 코드 실행</t>
        </is>
      </c>
      <c r="L101" s="11" t="inlineStr">
        <is>
          <t>실증·공개 취약점</t>
        </is>
      </c>
      <c r="M101" s="11" t="n">
        <v>0</v>
      </c>
      <c r="N101" s="5" t="inlineStr">
        <is>
          <t>자원 개발(Resource Development)</t>
        </is>
      </c>
      <c r="O101" s="5" t="inlineStr">
        <is>
          <t>T0060, T0062</t>
        </is>
      </c>
      <c r="P101" s="5" t="inlineStr">
        <is>
          <t>LLM04, LLM07</t>
        </is>
      </c>
      <c r="Q101" s="5" t="inlineStr">
        <is>
          <t>AIBOM/SBOM 인벤토리, 버전 고정·출처 검증, AI 권고 패키지 실존·평판 확인, 공급자 약관·라이선스 검토, 레지스트리 허용목록</t>
        </is>
      </c>
    </row>
    <row r="102" ht="41.5" customHeight="1">
      <c r="A102" s="10" t="inlineStr">
        <is>
          <t>D08. AI 공급망 침해</t>
        </is>
      </c>
      <c r="B102" s="11" t="inlineStr">
        <is>
          <t>UT-28</t>
        </is>
      </c>
      <c r="C102" s="5" t="inlineStr">
        <is>
          <t>AI 개발 공급망 침해</t>
        </is>
      </c>
      <c r="D102" s="11" t="inlineStr">
        <is>
          <t>UT-28.4</t>
        </is>
      </c>
      <c r="E102" s="12" t="inlineStr">
        <is>
          <t>네임스페이스 및 평판 악용</t>
        </is>
      </c>
      <c r="F102" s="14" t="inlineStr">
        <is>
          <t>삭제된 작성자 네임스페이스 재등록/유사 조직명 사칭/다운로드 수 조작/배포 후 악성 전환(러그풀)으로 신뢰를 가장한 악성 아티팩트 유포</t>
        </is>
      </c>
      <c r="G102" s="14" t="inlineStr">
        <is>
          <t>• [ATLAS CS0065·실증] 삭제된 Hugging Face 작성자 네임스페이스를 재등록해 악성 모델로 대체
• [ATLAS CS0044·실제사고] APT28 LAMEHUG가 LLM API로 실행 명령을 동적 생성(실제 사고)
• [ATLAS CS0053·실제사고] Postmark를 사칭한 악성 MCP 서버가 발송 메일을 몰래 BCC로 유출(실제 사고)</t>
        </is>
      </c>
      <c r="H102" s="11" t="inlineStr">
        <is>
          <t>상</t>
        </is>
      </c>
      <c r="I102" s="11" t="inlineStr">
        <is>
          <t>상</t>
        </is>
      </c>
      <c r="J102" s="13">
        <f>IF(AND(H102="상",I102="상"),"매우 높음",IF(OR(AND(H102="상",I102="중"),AND(H102="중",I102="상")),"높음",IF(OR(AND(H102="중",I102="중"),AND(H102="상",I102="하"),AND(H102="하",I102="상")),"보통","낮음")))</f>
        <v/>
      </c>
      <c r="K102" s="5" t="inlineStr">
        <is>
          <t>신뢰 위장 악성 아티팩트의 광범위 유입</t>
        </is>
      </c>
      <c r="L102" s="11" t="inlineStr">
        <is>
          <t>실제 사고 확인</t>
        </is>
      </c>
      <c r="M102" s="11" t="n">
        <v>2</v>
      </c>
      <c r="N102" s="5" t="inlineStr">
        <is>
          <t>방어 회피(Defense Evasion)</t>
        </is>
      </c>
      <c r="O102" s="5" t="inlineStr">
        <is>
          <t>T0074, T0109, T0111</t>
        </is>
      </c>
      <c r="P102" s="5" t="inlineStr">
        <is>
          <t>LLM04</t>
        </is>
      </c>
      <c r="Q102" s="5" t="inlineStr">
        <is>
          <t>AIBOM/SBOM 인벤토리, 버전 고정·출처 검증, AI 권고 패키지 실존·평판 확인, 공급자 약관·라이선스 검토, 레지스트리 허용목록</t>
        </is>
      </c>
    </row>
    <row r="103" ht="41.5" customHeight="1">
      <c r="A103" s="10" t="inlineStr">
        <is>
          <t>D08. AI 공급망 침해</t>
        </is>
      </c>
      <c r="B103" s="11" t="inlineStr">
        <is>
          <t>UT-28</t>
        </is>
      </c>
      <c r="C103" s="5" t="inlineStr">
        <is>
          <t>AI 개발 공급망 침해</t>
        </is>
      </c>
      <c r="D103" s="11" t="inlineStr">
        <is>
          <t>UT-28.5</t>
        </is>
      </c>
      <c r="E103" s="12" t="inlineStr">
        <is>
          <t>배포 파이프라인 악용</t>
        </is>
      </c>
      <c r="F103" s="14" t="inlineStr">
        <is>
          <t>컨테이너 레지스트리/모델 서빙 파이프라인/자동 처리 서비스의 취약점을 악용하여 배포 단계에서 모델 이미지 교체 또는 악성 코드 주입</t>
        </is>
      </c>
      <c r="G103" s="14" t="inlineStr">
        <is>
          <t>• [ATLAS CS0028·실증] 노출된 사설 컨테이너 레지스트리 8천여 개 발견, 모델 이미지 변조 가능성 입증
• [ATLAS CS0068·실제사고] OpenAI 평가용 자율 에이전트들이 평가 경계를 넘어 외부 인프라 구축·Hugging Face 침해(실제 사고)</t>
        </is>
      </c>
      <c r="H103" s="11" t="inlineStr">
        <is>
          <t>중</t>
        </is>
      </c>
      <c r="I103" s="11" t="inlineStr">
        <is>
          <t>상</t>
        </is>
      </c>
      <c r="J103" s="13">
        <f>IF(AND(H103="상",I103="상"),"매우 높음",IF(OR(AND(H103="상",I103="중"),AND(H103="중",I103="상")),"높음",IF(OR(AND(H103="중",I103="중"),AND(H103="상",I103="하"),AND(H103="하",I103="상")),"보통","낮음")))</f>
        <v/>
      </c>
      <c r="K103" s="5" t="inlineStr">
        <is>
          <t>배포 단계 모델 교체 및 코드 주입</t>
        </is>
      </c>
      <c r="L103" s="11" t="inlineStr">
        <is>
          <t>실제 사고 확인</t>
        </is>
      </c>
      <c r="M103" s="11" t="n">
        <v>1</v>
      </c>
      <c r="N103" s="5" t="inlineStr">
        <is>
          <t>초기 접근(Initial Access)</t>
        </is>
      </c>
      <c r="O103" s="5" t="inlineStr">
        <is>
          <t>T0010.004, T0119</t>
        </is>
      </c>
      <c r="P103" s="5" t="inlineStr">
        <is>
          <t>DSGAI05</t>
        </is>
      </c>
      <c r="Q103" s="5" t="inlineStr">
        <is>
          <t>AIBOM/SBOM 인벤토리, 버전 고정·출처 검증, AI 권고 패키지 실존·평판 확인, 공급자 약관·라이선스 검토, 레지스트리 허용목록</t>
        </is>
      </c>
    </row>
    <row r="104" ht="41.5" customHeight="1">
      <c r="A104" s="10" t="inlineStr">
        <is>
          <t>D08. AI 공급망 침해</t>
        </is>
      </c>
      <c r="B104" s="11" t="inlineStr">
        <is>
          <t>UT-29</t>
        </is>
      </c>
      <c r="C104" s="5" t="inlineStr">
        <is>
          <t>에이전트 도구 공급망 오염</t>
        </is>
      </c>
      <c r="D104" s="11" t="inlineStr">
        <is>
          <t>UT-29.1</t>
        </is>
      </c>
      <c r="E104" s="12" t="inlineStr">
        <is>
          <t>도구 설명 오염</t>
        </is>
      </c>
      <c r="F104" s="14" t="inlineStr">
        <is>
          <t>MCP 서버/플러그인의 도구 설명문에 사용자에게 보이지 않는 지시를 삽입하여, 도구 목록을 읽는 시점에 에이전트가 파일 유출 등 숨은 지시 수행</t>
        </is>
      </c>
      <c r="G104" s="14" t="inlineStr">
        <is>
          <t>• [ATLAS CS0049·실증] 스킬 레지스트리에 올린 오염된 ClawdBot 스킬로 원격 코드 실행
• [ATLAS CS0054·실증] 원격 MCP 도구 설명문의 숨은 지시로 에이전트가 파일·데이터 유출</t>
        </is>
      </c>
      <c r="H104" s="11" t="inlineStr">
        <is>
          <t>중</t>
        </is>
      </c>
      <c r="I104" s="11" t="inlineStr">
        <is>
          <t>상</t>
        </is>
      </c>
      <c r="J104" s="13">
        <f>IF(AND(H104="상",I104="상"),"매우 높음",IF(OR(AND(H104="상",I104="중"),AND(H104="중",I104="상")),"높음",IF(OR(AND(H104="중",I104="중"),AND(H104="상",I104="하"),AND(H104="하",I104="상")),"보통","낮음")))</f>
        <v/>
      </c>
      <c r="K104" s="5" t="inlineStr">
        <is>
          <t>도구 목록 조회만으로 숨은 지시 실행</t>
        </is>
      </c>
      <c r="L104" s="11" t="inlineStr">
        <is>
          <t>실사용 기법 포함</t>
        </is>
      </c>
      <c r="M104" s="11" t="n">
        <v>0</v>
      </c>
      <c r="N104" s="5" t="inlineStr">
        <is>
          <t>지속성(Persistence)</t>
        </is>
      </c>
      <c r="O104" s="5" t="inlineStr">
        <is>
          <t>T0110, T0110.000</t>
        </is>
      </c>
      <c r="P104" s="5" t="inlineStr">
        <is>
          <t>ASI04, MCP03</t>
        </is>
      </c>
      <c r="Q104" s="5" t="inlineStr">
        <is>
          <t>도구 서술자·매니페스트 서명 및 고정, 도구 설명 변경 감지, 샌드박스·egress 통제, 킬스위치</t>
        </is>
      </c>
    </row>
    <row r="105" ht="66.5" customHeight="1">
      <c r="A105" s="10" t="inlineStr">
        <is>
          <t>D08. AI 공급망 침해</t>
        </is>
      </c>
      <c r="B105" s="11" t="inlineStr">
        <is>
          <t>UT-29</t>
        </is>
      </c>
      <c r="C105" s="5" t="inlineStr">
        <is>
          <t>에이전트 도구 공급망 오염</t>
        </is>
      </c>
      <c r="D105" s="11" t="inlineStr">
        <is>
          <t>UT-29.2</t>
        </is>
      </c>
      <c r="E105" s="12" t="inlineStr">
        <is>
          <t>악성 도구 구현</t>
        </is>
      </c>
      <c r="F105" s="14" t="inlineStr">
        <is>
          <t>정상 서비스를 사칭하거나 배포 후 악성으로 전환된 MCP 서버/에이전트 스킬이 실행 권한을 이용해 데이터 유출 및 원격 코드 실행 수행</t>
        </is>
      </c>
      <c r="G105" s="14" t="inlineStr">
        <is>
          <t>• [ATLAS CS0053·실제사고] Postmark를 사칭한 악성 MCP 서버가 발송 메일을 몰래 BCC로 유출(실제 사고)
• [ATLAS CS0049·실증] 스킬 레지스트리에 올린 오염된 ClawdBot 스킬로 원격 코드 실행
• [ATLAS CS0054·실증] 원격 MCP 도구 설명문의 숨은 지시로 에이전트가 파일·데이터 유출
• [OWASP 인용] 악성 MCP 패키지 백도어(npm, 2025.10, 실제 사고) / CVE-2025-6514 mcp-remote / AgentSmith Prompt-Hub 프록시 공격(2025.06)</t>
        </is>
      </c>
      <c r="H105" s="11" t="inlineStr">
        <is>
          <t>상</t>
        </is>
      </c>
      <c r="I105" s="11" t="inlineStr">
        <is>
          <t>상</t>
        </is>
      </c>
      <c r="J105" s="13">
        <f>IF(AND(H105="상",I105="상"),"매우 높음",IF(OR(AND(H105="상",I105="중"),AND(H105="중",I105="상")),"높음",IF(OR(AND(H105="중",I105="중"),AND(H105="상",I105="하"),AND(H105="하",I105="상")),"보통","낮음")))</f>
        <v/>
      </c>
      <c r="K105" s="5" t="inlineStr">
        <is>
          <t>실행 권한을 이용한 데이터 유출 및 원격 코드 실행</t>
        </is>
      </c>
      <c r="L105" s="11" t="inlineStr">
        <is>
          <t>실제 사고 확인</t>
        </is>
      </c>
      <c r="M105" s="11" t="n">
        <v>2</v>
      </c>
      <c r="N105" s="5" t="inlineStr">
        <is>
          <t>초기 접근(Initial Access)</t>
        </is>
      </c>
      <c r="O105" s="5" t="inlineStr">
        <is>
          <t>T0010.005, T0011.002, T0110.001, T0115.002</t>
        </is>
      </c>
      <c r="P105" s="5" t="inlineStr">
        <is>
          <t>ASI04, DSGAI06, MCP04</t>
        </is>
      </c>
      <c r="Q105" s="5" t="inlineStr">
        <is>
          <t>도구 서술자·매니페스트 서명 및 고정, 도구 설명 변경 감지, 샌드박스·egress 통제, 킬스위치</t>
        </is>
      </c>
    </row>
    <row r="106" ht="41.5" customHeight="1">
      <c r="A106" s="10" t="inlineStr">
        <is>
          <t>D08. AI 공급망 침해</t>
        </is>
      </c>
      <c r="B106" s="11" t="inlineStr">
        <is>
          <t>UT-29</t>
        </is>
      </c>
      <c r="C106" s="5" t="inlineStr">
        <is>
          <t>에이전트 도구 공급망 오염</t>
        </is>
      </c>
      <c r="D106" s="11" t="inlineStr">
        <is>
          <t>UT-29.3</t>
        </is>
      </c>
      <c r="E106" s="12" t="inlineStr">
        <is>
          <t>도구 응답 오염</t>
        </is>
      </c>
      <c r="F106" s="14" t="inlineStr">
        <is>
          <t>침해되거나 악의적인 도구가 정상 결과에 지시문/허위 데이터를 섞어 반환하여 에이전트의 후속 판단과 행위 조작</t>
        </is>
      </c>
      <c r="G106" s="14" t="inlineStr">
        <is>
          <t>— (근거 사례 없음: OWASP 위험 정의 기반)</t>
        </is>
      </c>
      <c r="H106" s="11" t="inlineStr">
        <is>
          <t>하</t>
        </is>
      </c>
      <c r="I106" s="11" t="inlineStr">
        <is>
          <t>상</t>
        </is>
      </c>
      <c r="J106" s="13">
        <f>IF(AND(H106="상",I106="상"),"매우 높음",IF(OR(AND(H106="상",I106="중"),AND(H106="중",I106="상")),"높음",IF(OR(AND(H106="중",I106="중"),AND(H106="상",I106="하"),AND(H106="하",I106="상")),"보통","낮음")))</f>
        <v/>
      </c>
      <c r="K106" s="5" t="inlineStr">
        <is>
          <t>에이전트 후속 판단 및 행위 장악</t>
        </is>
      </c>
      <c r="L106" s="11" t="inlineStr">
        <is>
          <t>이론·시나리오</t>
        </is>
      </c>
      <c r="M106" s="11" t="n">
        <v>0</v>
      </c>
      <c r="N106" s="5" t="inlineStr">
        <is>
          <t>지속성(Persistence)</t>
        </is>
      </c>
      <c r="O106" s="5" t="inlineStr">
        <is>
          <t>T0110.002</t>
        </is>
      </c>
      <c r="P106" s="5" t="inlineStr">
        <is>
          <t>MCP03</t>
        </is>
      </c>
      <c r="Q106" s="5" t="inlineStr">
        <is>
          <t>도구 서술자·매니페스트 서명 및 고정, 도구 설명 변경 감지, 샌드박스·egress 통제, 킬스위치</t>
        </is>
      </c>
    </row>
    <row r="107" ht="41.5" customHeight="1">
      <c r="A107" s="10" t="inlineStr">
        <is>
          <t>D08. AI 공급망 침해</t>
        </is>
      </c>
      <c r="B107" s="11" t="inlineStr">
        <is>
          <t>UT-29</t>
        </is>
      </c>
      <c r="C107" s="5" t="inlineStr">
        <is>
          <t>에이전트 도구 공급망 오염</t>
        </is>
      </c>
      <c r="D107" s="11" t="inlineStr">
        <is>
          <t>UT-29.4</t>
        </is>
      </c>
      <c r="E107" s="12" t="inlineStr">
        <is>
          <t>도구명 사칭</t>
        </is>
      </c>
      <c r="F107" s="14" t="inlineStr">
        <is>
          <t>정상 도구와 유사한 이름/설명의 악성 도구를 등록하여 에이전트가 도구 해석 과정에서 악성 도구를 우선 선택하도록 유도(도구 타이포스쿼팅)</t>
        </is>
      </c>
      <c r="G107" s="14" t="inlineStr">
        <is>
          <t>• [OWASP 시나리오] 'report' 악성 도구가 'report_finance'보다 먼저 해석되는 타이포스쿼팅(ASI02 시나리오#5)</t>
        </is>
      </c>
      <c r="H107" s="11" t="inlineStr">
        <is>
          <t>하</t>
        </is>
      </c>
      <c r="I107" s="11" t="inlineStr">
        <is>
          <t>중</t>
        </is>
      </c>
      <c r="J107" s="13">
        <f>IF(AND(H107="상",I107="상"),"매우 높음",IF(OR(AND(H107="상",I107="중"),AND(H107="중",I107="상")),"높음",IF(OR(AND(H107="중",I107="중"),AND(H107="상",I107="하"),AND(H107="하",I107="상")),"보통","낮음")))</f>
        <v/>
      </c>
      <c r="K107" s="5" t="inlineStr">
        <is>
          <t>잘못된 도구 선택 유도(범위 제한)</t>
        </is>
      </c>
      <c r="L107" s="11" t="inlineStr">
        <is>
          <t>이론·시나리오</t>
        </is>
      </c>
      <c r="M107" s="11" t="n">
        <v>0</v>
      </c>
      <c r="N107" s="5" t="inlineStr">
        <is>
          <t>방어 회피(Defense Evasion)</t>
        </is>
      </c>
      <c r="O107" s="5" t="n"/>
      <c r="P107" s="5" t="inlineStr">
        <is>
          <t>ASI04</t>
        </is>
      </c>
      <c r="Q107" s="5" t="inlineStr">
        <is>
          <t>도구 서술자·매니페스트 서명 및 고정, 도구 설명 변경 감지, 샌드박스·egress 통제, 킬스위치</t>
        </is>
      </c>
    </row>
    <row r="108" ht="41.5" customHeight="1">
      <c r="A108" s="10" t="inlineStr">
        <is>
          <t>D09. AI 인프라 노출 및 자원 고갈</t>
        </is>
      </c>
      <c r="B108" s="11" t="inlineStr">
        <is>
          <t>UT-30</t>
        </is>
      </c>
      <c r="C108" s="5" t="inlineStr">
        <is>
          <t>AI 자원 고갈 공격</t>
        </is>
      </c>
      <c r="D108" s="11" t="inlineStr">
        <is>
          <t>UT-30.1</t>
        </is>
      </c>
      <c r="E108" s="12" t="inlineStr">
        <is>
          <t>서비스 거부</t>
        </is>
      </c>
      <c r="F108" s="14" t="inlineStr">
        <is>
          <t>대량 요청/장문 입력/무의미 데이터 투입으로 추론 자원을 고갈시켜 서비스 응답 지연 또는 중단 유발</t>
        </is>
      </c>
      <c r="G108" s="14" t="inlineStr">
        <is>
          <t>• [ATLAS CS0016·실증] MathGPT에 프롬프트 인젝션으로 파이썬 코드 실행·API 키 노출
• [ATLAS CS0036·실증] LLM 데스크톱 앱 메모리에서 인증 토큰을 추출해 사용자 가장(AIKatz)</t>
        </is>
      </c>
      <c r="H108" s="11" t="inlineStr">
        <is>
          <t>중</t>
        </is>
      </c>
      <c r="I108" s="11" t="inlineStr">
        <is>
          <t>하</t>
        </is>
      </c>
      <c r="J108" s="13">
        <f>IF(AND(H108="상",I108="상"),"매우 높음",IF(OR(AND(H108="상",I108="중"),AND(H108="중",I108="상")),"높음",IF(OR(AND(H108="중",I108="중"),AND(H108="상",I108="하"),AND(H108="하",I108="상")),"보통","낮음")))</f>
        <v/>
      </c>
      <c r="K108" s="5" t="inlineStr">
        <is>
          <t>일시적 장애</t>
        </is>
      </c>
      <c r="L108" s="11" t="inlineStr">
        <is>
          <t>실증·공개 취약점</t>
        </is>
      </c>
      <c r="M108" s="11" t="n">
        <v>0</v>
      </c>
      <c r="N108" s="5" t="inlineStr">
        <is>
          <t>영향(Impact)</t>
        </is>
      </c>
      <c r="O108" s="5" t="inlineStr">
        <is>
          <t>T0029, T0046</t>
        </is>
      </c>
      <c r="P108" s="5" t="inlineStr">
        <is>
          <t>LLM06</t>
        </is>
      </c>
      <c r="Q108" s="5" t="inlineStr">
        <is>
          <t>요청당 비용 기반 한도, 에이전트 반복·팬아웃 상한, 서킷브레이커, 예산 경보</t>
        </is>
      </c>
    </row>
    <row r="109" ht="41.5" customHeight="1">
      <c r="A109" s="10" t="inlineStr">
        <is>
          <t>D09. AI 인프라 노출 및 자원 고갈</t>
        </is>
      </c>
      <c r="B109" s="11" t="inlineStr">
        <is>
          <t>UT-30</t>
        </is>
      </c>
      <c r="C109" s="5" t="inlineStr">
        <is>
          <t>AI 자원 고갈 공격</t>
        </is>
      </c>
      <c r="D109" s="11" t="inlineStr">
        <is>
          <t>UT-30.2</t>
        </is>
      </c>
      <c r="E109" s="12" t="inlineStr">
        <is>
          <t>과금 폭탄</t>
        </is>
      </c>
      <c r="F109" s="14" t="inlineStr">
        <is>
          <t>고비용 추론을 유발하는 질의를 반복하거나 탈취 키로 서비스를 남용하여 종량제 과금 급증(Denial of Wallet)</t>
        </is>
      </c>
      <c r="G109" s="14" t="inlineStr">
        <is>
          <t>• [ATLAS CS0030·실제사고] 탈취한 클라우드 자격증명으로 LLM 서비스를 무단 사용·재판매(LLMjacking, 실제 사고)</t>
        </is>
      </c>
      <c r="H109" s="11" t="inlineStr">
        <is>
          <t>중</t>
        </is>
      </c>
      <c r="I109" s="11" t="inlineStr">
        <is>
          <t>중</t>
        </is>
      </c>
      <c r="J109" s="13">
        <f>IF(AND(H109="상",I109="상"),"매우 높음",IF(OR(AND(H109="상",I109="중"),AND(H109="중",I109="상")),"높음",IF(OR(AND(H109="중",I109="중"),AND(H109="상",I109="하"),AND(H109="하",I109="상")),"보통","낮음")))</f>
        <v/>
      </c>
      <c r="K109" s="5" t="inlineStr">
        <is>
          <t>재무 손실(서비스 영향 제한적)</t>
        </is>
      </c>
      <c r="L109" s="11" t="inlineStr">
        <is>
          <t>실제 사고 확인</t>
        </is>
      </c>
      <c r="M109" s="11" t="n">
        <v>1</v>
      </c>
      <c r="N109" s="5" t="inlineStr">
        <is>
          <t>영향(Impact)</t>
        </is>
      </c>
      <c r="O109" s="5" t="inlineStr">
        <is>
          <t>T0034, T0034.000, T0034.001</t>
        </is>
      </c>
      <c r="P109" s="5" t="inlineStr">
        <is>
          <t>LLM06</t>
        </is>
      </c>
      <c r="Q109" s="5" t="inlineStr">
        <is>
          <t>요청당 비용 기반 한도, 에이전트 반복·팬아웃 상한, 서킷브레이커, 예산 경보</t>
        </is>
      </c>
    </row>
    <row r="110" ht="41.5" customHeight="1">
      <c r="A110" s="10" t="inlineStr">
        <is>
          <t>D09. AI 인프라 노출 및 자원 고갈</t>
        </is>
      </c>
      <c r="B110" s="11" t="inlineStr">
        <is>
          <t>UT-30</t>
        </is>
      </c>
      <c r="C110" s="5" t="inlineStr">
        <is>
          <t>AI 자원 고갈 공격</t>
        </is>
      </c>
      <c r="D110" s="11" t="inlineStr">
        <is>
          <t>UT-30.3</t>
        </is>
      </c>
      <c r="E110" s="12" t="inlineStr">
        <is>
          <t>에이전트 루프 소모</t>
        </is>
      </c>
      <c r="F110" s="14" t="inlineStr">
        <is>
          <t>도구 호출 반복/에이전트 팬아웃/누적 컨텍스트 증가를 유도하여 단일 요청으로 대량 연산과 비용 소모</t>
        </is>
      </c>
      <c r="G110" s="14" t="inlineStr">
        <is>
          <t>— (근거 사례 없음: OWASP 위험 정의 기반)</t>
        </is>
      </c>
      <c r="H110" s="11" t="inlineStr">
        <is>
          <t>하</t>
        </is>
      </c>
      <c r="I110" s="11" t="inlineStr">
        <is>
          <t>중</t>
        </is>
      </c>
      <c r="J110" s="13">
        <f>IF(AND(H110="상",I110="상"),"매우 높음",IF(OR(AND(H110="상",I110="중"),AND(H110="중",I110="상")),"높음",IF(OR(AND(H110="중",I110="중"),AND(H110="상",I110="하"),AND(H110="하",I110="상")),"보통","낮음")))</f>
        <v/>
      </c>
      <c r="K110" s="5" t="inlineStr">
        <is>
          <t>단일 요청 기반 대량 비용 소모</t>
        </is>
      </c>
      <c r="L110" s="11" t="inlineStr">
        <is>
          <t>이론·시나리오</t>
        </is>
      </c>
      <c r="M110" s="11" t="n">
        <v>0</v>
      </c>
      <c r="N110" s="5" t="inlineStr">
        <is>
          <t>영향(Impact)</t>
        </is>
      </c>
      <c r="O110" s="5" t="inlineStr">
        <is>
          <t>T0034.002</t>
        </is>
      </c>
      <c r="P110" s="5" t="inlineStr">
        <is>
          <t>LLM06</t>
        </is>
      </c>
      <c r="Q110" s="5" t="inlineStr">
        <is>
          <t>요청당 비용 기반 한도, 에이전트 반복·팬아웃 상한, 서킷브레이커, 예산 경보</t>
        </is>
      </c>
    </row>
    <row r="111" ht="41.5" customHeight="1">
      <c r="A111" s="10" t="inlineStr">
        <is>
          <t>D09. AI 인프라 노출 및 자원 고갈</t>
        </is>
      </c>
      <c r="B111" s="11" t="inlineStr">
        <is>
          <t>UT-30</t>
        </is>
      </c>
      <c r="C111" s="5" t="inlineStr">
        <is>
          <t>AI 자원 고갈 공격</t>
        </is>
      </c>
      <c r="D111" s="11" t="inlineStr">
        <is>
          <t>UT-30.4</t>
        </is>
      </c>
      <c r="E111" s="12" t="inlineStr">
        <is>
          <t>RAG 가용성 저하</t>
        </is>
      </c>
      <c r="F111" s="14" t="inlineStr">
        <is>
          <t>검색 방해 문서 주입/벡터 DB 과부하/복제본 장애로 지식 검색 품질과 가용성을 저하시켜 AI 서비스 기능 마비</t>
        </is>
      </c>
      <c r="G111" s="14" t="inlineStr">
        <is>
          <t>• [OWASP 시나리오] 에이전트 검색 폭주로 벡터 DB 포화(DSGAI17 시나리오)</t>
        </is>
      </c>
      <c r="H111" s="11" t="inlineStr">
        <is>
          <t>하</t>
        </is>
      </c>
      <c r="I111" s="11" t="inlineStr">
        <is>
          <t>중</t>
        </is>
      </c>
      <c r="J111" s="13">
        <f>IF(AND(H111="상",I111="상"),"매우 높음",IF(OR(AND(H111="상",I111="중"),AND(H111="중",I111="상")),"높음",IF(OR(AND(H111="중",I111="중"),AND(H111="상",I111="하"),AND(H111="하",I111="상")),"보통","낮음")))</f>
        <v/>
      </c>
      <c r="K111" s="5" t="inlineStr">
        <is>
          <t>지식 검색 기능 저하 및 마비</t>
        </is>
      </c>
      <c r="L111" s="11" t="inlineStr">
        <is>
          <t>이론·시나리오</t>
        </is>
      </c>
      <c r="M111" s="11" t="n">
        <v>0</v>
      </c>
      <c r="N111" s="5" t="inlineStr">
        <is>
          <t>영향(Impact)</t>
        </is>
      </c>
      <c r="O111" s="5" t="n"/>
      <c r="P111" s="5" t="inlineStr">
        <is>
          <t>DSGAI17</t>
        </is>
      </c>
      <c r="Q111" s="5" t="inlineStr">
        <is>
          <t>요청당 비용 기반 한도, 에이전트 반복·팬아웃 상한, 서킷브레이커, 예산 경보</t>
        </is>
      </c>
    </row>
    <row r="112" ht="66.5" customHeight="1">
      <c r="A112" s="10" t="inlineStr">
        <is>
          <t>D09. AI 인프라 노출 및 자원 고갈</t>
        </is>
      </c>
      <c r="B112" s="11" t="inlineStr">
        <is>
          <t>UT-31</t>
        </is>
      </c>
      <c r="C112" s="5" t="inlineStr">
        <is>
          <t>AI 서비스 노출 및 섀도 AI</t>
        </is>
      </c>
      <c r="D112" s="11" t="inlineStr">
        <is>
          <t>UT-31.1</t>
        </is>
      </c>
      <c r="E112" s="12" t="inlineStr">
        <is>
          <t>외부 노출 AI 서비스</t>
        </is>
      </c>
      <c r="F112" s="14" t="inlineStr">
        <is>
          <t>인증 미설정/기본 자격증명/공개 설정 상태의 AI 클러스터, 노트북, 에이전트 관리 콘솔이 인터넷에 노출되어 원격 명령 실행 및 자산 탈취 경로로 악용</t>
        </is>
      </c>
      <c r="G112" s="14" t="inlineStr">
        <is>
          <t>• [ATLAS CS0006·실제사고] Clearview AI 저장소 설정 오류로 소스코드·자격증명·모델 노출
• [ATLAS CS0023·실제사고] 인증 없는 Ray 클러스터를 탈취해 연산자원·자격증명·모델 탈취(ShadowRay, 실제 사고)
• [ATLAS CS0048·실증] 인터넷에 노출된 ClawdBot 제어 인터페이스 수백 개에서 자격증명 탈취·명령 실행
• [OWASP 인용] Microsoft Copilot Studio 에이전트 기본 공개 설정 결함(2025.07)</t>
        </is>
      </c>
      <c r="H112" s="11" t="inlineStr">
        <is>
          <t>상</t>
        </is>
      </c>
      <c r="I112" s="11" t="inlineStr">
        <is>
          <t>상</t>
        </is>
      </c>
      <c r="J112" s="13">
        <f>IF(AND(H112="상",I112="상"),"매우 높음",IF(OR(AND(H112="상",I112="중"),AND(H112="중",I112="상")),"높음",IF(OR(AND(H112="중",I112="중"),AND(H112="상",I112="하"),AND(H112="하",I112="상")),"보통","낮음")))</f>
        <v/>
      </c>
      <c r="K112" s="5" t="inlineStr">
        <is>
          <t>원격 명령 실행 및 AI 자산 탈취</t>
        </is>
      </c>
      <c r="L112" s="11" t="inlineStr">
        <is>
          <t>실제 사고 확인</t>
        </is>
      </c>
      <c r="M112" s="11" t="n">
        <v>2</v>
      </c>
      <c r="N112" s="5" t="inlineStr">
        <is>
          <t>초기 접근(Initial Access)</t>
        </is>
      </c>
      <c r="O112" s="5" t="inlineStr">
        <is>
          <t>T0132</t>
        </is>
      </c>
      <c r="P112" s="5" t="n"/>
      <c r="Q112" s="5" t="inlineStr">
        <is>
          <t>AI 자산 인벤토리·AI-DSPM, 승인 도구 카탈로그, 외부 노출 스캔, 네트워크 egress 통제</t>
        </is>
      </c>
    </row>
    <row r="113" ht="41.5" customHeight="1">
      <c r="A113" s="10" t="inlineStr">
        <is>
          <t>D09. AI 인프라 노출 및 자원 고갈</t>
        </is>
      </c>
      <c r="B113" s="11" t="inlineStr">
        <is>
          <t>UT-31</t>
        </is>
      </c>
      <c r="C113" s="5" t="inlineStr">
        <is>
          <t>AI 서비스 노출 및 섀도 AI</t>
        </is>
      </c>
      <c r="D113" s="11" t="inlineStr">
        <is>
          <t>UT-31.2</t>
        </is>
      </c>
      <c r="E113" s="12" t="inlineStr">
        <is>
          <t>섀도 AI 사용</t>
        </is>
      </c>
      <c r="F113" s="14" t="inlineStr">
        <is>
          <t>승인되지 않은 외부 AI 서비스에 임직원이 업무 데이터를 입력하여 보안 통제와 계약 보호 밖에서 데이터가 처리 및 보관</t>
        </is>
      </c>
      <c r="G113" s="14" t="inlineStr">
        <is>
          <t>• [OWASP 시나리오] 영업팀이 비승인 메일 작성 도구에 CRM 데이터를 붙여넣음(DSGAI03 시나리오)</t>
        </is>
      </c>
      <c r="H113" s="11" t="inlineStr">
        <is>
          <t>하</t>
        </is>
      </c>
      <c r="I113" s="11" t="inlineStr">
        <is>
          <t>중</t>
        </is>
      </c>
      <c r="J113" s="13">
        <f>IF(AND(H113="상",I113="상"),"매우 높음",IF(OR(AND(H113="상",I113="중"),AND(H113="중",I113="상")),"높음",IF(OR(AND(H113="중",I113="중"),AND(H113="상",I113="하"),AND(H113="하",I113="상")),"보통","낮음")))</f>
        <v/>
      </c>
      <c r="K113" s="5" t="inlineStr">
        <is>
          <t>통제 밖 데이터 처리(계약 보호 부재)</t>
        </is>
      </c>
      <c r="L113" s="11" t="inlineStr">
        <is>
          <t>이론·시나리오</t>
        </is>
      </c>
      <c r="M113" s="11" t="n">
        <v>0</v>
      </c>
      <c r="N113" s="5" t="inlineStr">
        <is>
          <t>해당 없음(구조적 결함)</t>
        </is>
      </c>
      <c r="O113" s="5" t="n"/>
      <c r="P113" s="5" t="inlineStr">
        <is>
          <t>DSGAI03</t>
        </is>
      </c>
      <c r="Q113" s="5" t="inlineStr">
        <is>
          <t>AI 자산 인벤토리·AI-DSPM, 승인 도구 카탈로그, 외부 노출 스캔, 네트워크 egress 통제</t>
        </is>
      </c>
    </row>
    <row r="114" ht="41.5" customHeight="1">
      <c r="A114" s="10" t="inlineStr">
        <is>
          <t>D09. AI 인프라 노출 및 자원 고갈</t>
        </is>
      </c>
      <c r="B114" s="11" t="inlineStr">
        <is>
          <t>UT-31</t>
        </is>
      </c>
      <c r="C114" s="5" t="inlineStr">
        <is>
          <t>AI 서비스 노출 및 섀도 AI</t>
        </is>
      </c>
      <c r="D114" s="11" t="inlineStr">
        <is>
          <t>UT-31.3</t>
        </is>
      </c>
      <c r="E114" s="12" t="inlineStr">
        <is>
          <t>섀도 MCP 서버</t>
        </is>
      </c>
      <c r="F114" s="14" t="inlineStr">
        <is>
          <t>보안 검토 없이 설치된 MCP 서버가 기본 자격증명/과도한 권한으로 운영되어 통제되지 않는 데이터 접근 경로 및 공격면 형성</t>
        </is>
      </c>
      <c r="G114" s="14" t="inlineStr">
        <is>
          <t>• [OWASP 시나리오] 거버넌스 밖에서 기본 자격증명으로 운영되는 MCP 인스턴스(MCP09 개요)</t>
        </is>
      </c>
      <c r="H114" s="11" t="inlineStr">
        <is>
          <t>하</t>
        </is>
      </c>
      <c r="I114" s="11" t="inlineStr">
        <is>
          <t>중</t>
        </is>
      </c>
      <c r="J114" s="13">
        <f>IF(AND(H114="상",I114="상"),"매우 높음",IF(OR(AND(H114="상",I114="중"),AND(H114="중",I114="상")),"높음",IF(OR(AND(H114="중",I114="중"),AND(H114="상",I114="하"),AND(H114="하",I114="상")),"보통","낮음")))</f>
        <v/>
      </c>
      <c r="K114" s="5" t="inlineStr">
        <is>
          <t>통제되지 않는 데이터 접근 경로</t>
        </is>
      </c>
      <c r="L114" s="11" t="inlineStr">
        <is>
          <t>이론·시나리오</t>
        </is>
      </c>
      <c r="M114" s="11" t="n">
        <v>0</v>
      </c>
      <c r="N114" s="5" t="inlineStr">
        <is>
          <t>해당 없음(구조적 결함)</t>
        </is>
      </c>
      <c r="O114" s="5" t="n"/>
      <c r="P114" s="5" t="inlineStr">
        <is>
          <t>MCP09</t>
        </is>
      </c>
      <c r="Q114" s="5" t="inlineStr">
        <is>
          <t>AI 자산 인벤토리·AI-DSPM, 승인 도구 카탈로그, 외부 노출 스캔, 네트워크 egress 통제</t>
        </is>
      </c>
    </row>
    <row r="115" ht="41.5" customHeight="1">
      <c r="A115" s="10" t="inlineStr">
        <is>
          <t>D09. AI 인프라 노출 및 자원 고갈</t>
        </is>
      </c>
      <c r="B115" s="11" t="inlineStr">
        <is>
          <t>UT-32</t>
        </is>
      </c>
      <c r="C115" s="5" t="inlineStr">
        <is>
          <t>단말 AI 어시스턴트 악용</t>
        </is>
      </c>
      <c r="D115" s="11" t="inlineStr">
        <is>
          <t>UT-32.1</t>
        </is>
      </c>
      <c r="E115" s="12" t="inlineStr">
        <is>
          <t>브라우저 확장 과권한</t>
        </is>
      </c>
      <c r="F115" s="14" t="inlineStr">
        <is>
          <t>전체 탭/페이지 읽기 권한을 가진 AI 브라우저 확장이 열람 중인 사내 시스템 화면과 데이터를 원격 LLM으로 전송하거나 웹페이지 인젝션으로 탈취</t>
        </is>
      </c>
      <c r="G115" s="14" t="inlineStr">
        <is>
          <t>• [OWASP 시나리오] 모든 탭 접근 권한의 AI 확장이 조작된 웹페이지로 탈취(DSGAI16 시나리오)</t>
        </is>
      </c>
      <c r="H115" s="11" t="inlineStr">
        <is>
          <t>하</t>
        </is>
      </c>
      <c r="I115" s="11" t="inlineStr">
        <is>
          <t>중</t>
        </is>
      </c>
      <c r="J115" s="13">
        <f>IF(AND(H115="상",I115="상"),"매우 높음",IF(OR(AND(H115="상",I115="중"),AND(H115="중",I115="상")),"높음",IF(OR(AND(H115="중",I115="중"),AND(H115="상",I115="하"),AND(H115="하",I115="상")),"보통","낮음")))</f>
        <v/>
      </c>
      <c r="K115" s="5" t="inlineStr">
        <is>
          <t>열람 화면 단위 정보 노출</t>
        </is>
      </c>
      <c r="L115" s="11" t="inlineStr">
        <is>
          <t>이론·시나리오</t>
        </is>
      </c>
      <c r="M115" s="11" t="n">
        <v>0</v>
      </c>
      <c r="N115" s="5" t="inlineStr">
        <is>
          <t>수집(Collection)</t>
        </is>
      </c>
      <c r="O115" s="5" t="n"/>
      <c r="P115" s="5" t="inlineStr">
        <is>
          <t>DSGAI16</t>
        </is>
      </c>
      <c r="Q115" s="5" t="inlineStr">
        <is>
          <t>확장·에이전트 권한 최소화, 로컬 설정 파일 무결성 보호, 엔드포인트 DLP·EDR 연계</t>
        </is>
      </c>
    </row>
    <row r="116" ht="41.5" customHeight="1">
      <c r="A116" s="10" t="inlineStr">
        <is>
          <t>D09. AI 인프라 노출 및 자원 고갈</t>
        </is>
      </c>
      <c r="B116" s="11" t="inlineStr">
        <is>
          <t>UT-32</t>
        </is>
      </c>
      <c r="C116" s="5" t="inlineStr">
        <is>
          <t>단말 AI 어시스턴트 악용</t>
        </is>
      </c>
      <c r="D116" s="11" t="inlineStr">
        <is>
          <t>UT-32.2</t>
        </is>
      </c>
      <c r="E116" s="12" t="inlineStr">
        <is>
          <t>로컬 에이전트 장악</t>
        </is>
      </c>
      <c r="F116" s="14" t="inlineStr">
        <is>
          <t>악성 링크/조작 콘텐츠를 통해 사용자 PC의 로컬 AI 에이전트를 원격 장악하여 로컬 파일 접근 및 명령 실행</t>
        </is>
      </c>
      <c r="G116" s="14" t="inlineStr">
        <is>
          <t>• [ATLAS CS0036·실증] LLM 데스크톱 앱 메모리에서 인증 토큰을 추출해 사용자 가장(AIKatz)
• [ATLAS CS0050·실증] 악성 링크 1회 클릭으로 OpenClaw 로컬 에이전트 원격 코드 실행
• [ATLAS CS0051·실증] 웹페이지 인젝션으로 OpenClaw에 지속 지시를 심어 C2로 활용</t>
        </is>
      </c>
      <c r="H116" s="11" t="inlineStr">
        <is>
          <t>중</t>
        </is>
      </c>
      <c r="I116" s="11" t="inlineStr">
        <is>
          <t>상</t>
        </is>
      </c>
      <c r="J116" s="13">
        <f>IF(AND(H116="상",I116="상"),"매우 높음",IF(OR(AND(H116="상",I116="중"),AND(H116="중",I116="상")),"높음",IF(OR(AND(H116="중",I116="중"),AND(H116="상",I116="하"),AND(H116="하",I116="상")),"보통","낮음")))</f>
        <v/>
      </c>
      <c r="K116" s="5" t="inlineStr">
        <is>
          <t>사용자 PC 파일 접근 및 명령 실행</t>
        </is>
      </c>
      <c r="L116" s="11" t="inlineStr">
        <is>
          <t>실증·공개 취약점</t>
        </is>
      </c>
      <c r="M116" s="11" t="n">
        <v>0</v>
      </c>
      <c r="N116" s="5" t="inlineStr">
        <is>
          <t>영향(Impact)</t>
        </is>
      </c>
      <c r="O116" s="5" t="inlineStr">
        <is>
          <t>T0112.000</t>
        </is>
      </c>
      <c r="P116" s="5" t="inlineStr">
        <is>
          <t>DSGAI16</t>
        </is>
      </c>
      <c r="Q116" s="5" t="inlineStr">
        <is>
          <t>확장·에이전트 권한 최소화, 로컬 설정 파일 무결성 보호, 엔드포인트 DLP·EDR 연계</t>
        </is>
      </c>
    </row>
    <row r="117" ht="54" customHeight="1">
      <c r="A117" s="10" t="inlineStr">
        <is>
          <t>D09. AI 인프라 노출 및 자원 고갈</t>
        </is>
      </c>
      <c r="B117" s="11" t="inlineStr">
        <is>
          <t>UT-32</t>
        </is>
      </c>
      <c r="C117" s="5" t="inlineStr">
        <is>
          <t>단말 AI 어시스턴트 악용</t>
        </is>
      </c>
      <c r="D117" s="11" t="inlineStr">
        <is>
          <t>UT-32.3</t>
        </is>
      </c>
      <c r="E117" s="12" t="inlineStr">
        <is>
          <t>코딩 어시스턴트 통제 우회</t>
        </is>
      </c>
      <c r="F117" s="14" t="inlineStr">
        <is>
          <t>AI 코딩 어시스턴트의 명령 허용목록/승인 절차를 환경변수/규칙 파일 조작으로 우회하여 개발자 권한으로 임의 명령 실행</t>
        </is>
      </c>
      <c r="G117" s="14" t="inlineStr">
        <is>
          <t>• [ATLAS CS0047·실제사고] 과권한 GitHub 토큰으로 Amazon Q VS Code 확장에 파괴형 에이전트 지시 커밋(실제 사고)
• [ATLAS CS0041·실증] AI 코딩도구 규칙 파일에 보이지 않는 유니코드 지시를 숨겨 악성 코드 생성 유도
• [OWASP 인용] CVE-2026-22708 Cursor 터미널 허용목록 우회</t>
        </is>
      </c>
      <c r="H117" s="11" t="inlineStr">
        <is>
          <t>중</t>
        </is>
      </c>
      <c r="I117" s="11" t="inlineStr">
        <is>
          <t>상</t>
        </is>
      </c>
      <c r="J117" s="13">
        <f>IF(AND(H117="상",I117="상"),"매우 높음",IF(OR(AND(H117="상",I117="중"),AND(H117="중",I117="상")),"높음",IF(OR(AND(H117="중",I117="중"),AND(H117="상",I117="하"),AND(H117="하",I117="상")),"보통","낮음")))</f>
        <v/>
      </c>
      <c r="K117" s="5" t="inlineStr">
        <is>
          <t>개발자 권한 임의 명령 실행</t>
        </is>
      </c>
      <c r="L117" s="11" t="inlineStr">
        <is>
          <t>실제 사고 확인</t>
        </is>
      </c>
      <c r="M117" s="11" t="n">
        <v>1</v>
      </c>
      <c r="N117" s="5" t="inlineStr">
        <is>
          <t>방어 회피(Defense Evasion)</t>
        </is>
      </c>
      <c r="O117" s="5" t="n"/>
      <c r="P117" s="5" t="inlineStr">
        <is>
          <t>DSGAI16</t>
        </is>
      </c>
      <c r="Q117" s="5" t="inlineStr">
        <is>
          <t>확장·에이전트 권한 최소화, 로컬 설정 파일 무결성 보호, 엔드포인트 DLP·EDR 연계</t>
        </is>
      </c>
    </row>
    <row r="118" ht="41.5" customHeight="1">
      <c r="A118" s="10" t="inlineStr">
        <is>
          <t>D09. AI 인프라 노출 및 자원 고갈</t>
        </is>
      </c>
      <c r="B118" s="11" t="inlineStr">
        <is>
          <t>UT-33</t>
        </is>
      </c>
      <c r="C118" s="5" t="inlineStr">
        <is>
          <t>로그 및 라벨링 경로 노출</t>
        </is>
      </c>
      <c r="D118" s="11" t="inlineStr">
        <is>
          <t>UT-33.1</t>
        </is>
      </c>
      <c r="E118" s="12" t="inlineStr">
        <is>
          <t>관측성 도구 과다 수집</t>
        </is>
      </c>
      <c r="F118" s="14" t="inlineStr">
        <is>
          <t>디버그 로깅/APM/추적 도구가 프롬프트, 응답, 추론 과정, 토큰을 원문 그대로 수집하여 광범위한 운영 인력과 외부 도구에 민감정보 노출</t>
        </is>
      </c>
      <c r="G118" s="14" t="inlineStr">
        <is>
          <t>• [OWASP 시나리오] 확장 추론 흔적이 공유 APM에 기록되어 엔지니어 수백 명에게 PII 노출(LLM02 시나리오#3)</t>
        </is>
      </c>
      <c r="H118" s="11" t="inlineStr">
        <is>
          <t>하</t>
        </is>
      </c>
      <c r="I118" s="11" t="inlineStr">
        <is>
          <t>중</t>
        </is>
      </c>
      <c r="J118" s="13">
        <f>IF(AND(H118="상",I118="상"),"매우 높음",IF(OR(AND(H118="상",I118="중"),AND(H118="중",I118="상")),"높음",IF(OR(AND(H118="중",I118="중"),AND(H118="상",I118="하"),AND(H118="하",I118="상")),"보통","낮음")))</f>
        <v/>
      </c>
      <c r="K118" s="5" t="inlineStr">
        <is>
          <t>운영 인력 및 외부 도구로 민감정보 확산</t>
        </is>
      </c>
      <c r="L118" s="11" t="inlineStr">
        <is>
          <t>이론·시나리오</t>
        </is>
      </c>
      <c r="M118" s="11" t="n">
        <v>0</v>
      </c>
      <c r="N118" s="5" t="inlineStr">
        <is>
          <t>수집(Collection)</t>
        </is>
      </c>
      <c r="O118" s="5" t="n"/>
      <c r="P118" s="5" t="inlineStr">
        <is>
          <t>DSGAI14</t>
        </is>
      </c>
      <c r="Q118" s="5" t="inlineStr">
        <is>
          <t>로그 마스킹·보존기간 최소화, 관측성 도구 접근통제, 라벨러용 비식별화·최소노출</t>
        </is>
      </c>
    </row>
    <row r="119" ht="41.5" customHeight="1">
      <c r="A119" s="10" t="inlineStr">
        <is>
          <t>D09. AI 인프라 노출 및 자원 고갈</t>
        </is>
      </c>
      <c r="B119" s="11" t="inlineStr">
        <is>
          <t>UT-33</t>
        </is>
      </c>
      <c r="C119" s="5" t="inlineStr">
        <is>
          <t>로그 및 라벨링 경로 노출</t>
        </is>
      </c>
      <c r="D119" s="11" t="inlineStr">
        <is>
          <t>UT-33.2</t>
        </is>
      </c>
      <c r="E119" s="12" t="inlineStr">
        <is>
          <t>라벨링 인력 과다 노출</t>
        </is>
      </c>
      <c r="F119" s="14" t="inlineStr">
        <is>
          <t>RLHF/품질 검수를 위해 비식별 처리 없이 원본 대화와 문서를 외부 라벨링 인력에 대량 제공하여 개인정보 및 기밀 노출</t>
        </is>
      </c>
      <c r="G119" s="14" t="inlineStr">
        <is>
          <t>• [OWASP 시나리오] PHI가 포함된 상담 기록 수천 건을 라벨링 업체에 원본 전달(DSGAI19 시나리오)</t>
        </is>
      </c>
      <c r="H119" s="11" t="inlineStr">
        <is>
          <t>하</t>
        </is>
      </c>
      <c r="I119" s="11" t="inlineStr">
        <is>
          <t>중</t>
        </is>
      </c>
      <c r="J119" s="13">
        <f>IF(AND(H119="상",I119="상"),"매우 높음",IF(OR(AND(H119="상",I119="중"),AND(H119="중",I119="상")),"높음",IF(OR(AND(H119="중",I119="중"),AND(H119="상",I119="하"),AND(H119="하",I119="상")),"보통","낮음")))</f>
        <v/>
      </c>
      <c r="K119" s="5" t="inlineStr">
        <is>
          <t>외부 인력 대상 원본 데이터 대량 노출</t>
        </is>
      </c>
      <c r="L119" s="11" t="inlineStr">
        <is>
          <t>이론·시나리오</t>
        </is>
      </c>
      <c r="M119" s="11" t="n">
        <v>0</v>
      </c>
      <c r="N119" s="5" t="inlineStr">
        <is>
          <t>수집(Collection)</t>
        </is>
      </c>
      <c r="O119" s="5" t="n"/>
      <c r="P119" s="5" t="inlineStr">
        <is>
          <t>DSGAI19</t>
        </is>
      </c>
      <c r="Q119" s="5" t="inlineStr">
        <is>
          <t>로그 마스킹·보존기간 최소화, 관측성 도구 접근통제, 라벨러용 비식별화·최소노출</t>
        </is>
      </c>
    </row>
    <row r="120" ht="54" customHeight="1">
      <c r="A120" s="10" t="inlineStr">
        <is>
          <t>D10. 사용자 기만 및 AI 거버넌스 미흡</t>
        </is>
      </c>
      <c r="B120" s="11" t="inlineStr">
        <is>
          <t>UT-34</t>
        </is>
      </c>
      <c r="C120" s="5" t="inlineStr">
        <is>
          <t>인간-에이전트 신뢰 악용</t>
        </is>
      </c>
      <c r="D120" s="11" t="inlineStr">
        <is>
          <t>UT-34.1</t>
        </is>
      </c>
      <c r="E120" s="12" t="inlineStr">
        <is>
          <t>신뢰 가장 출력</t>
        </is>
      </c>
      <c r="F120" s="14" t="inlineStr">
        <is>
          <t>조작된 인용/출처 표기/근거 설명을 응답에 포함하여 공격자 정보(예: 송금 계좌)를 신뢰할 수 있는 답변으로 위장</t>
        </is>
      </c>
      <c r="G120" s="14" t="inlineStr">
        <is>
          <t>• [ATLAS CS0026·실증] 메일을 RAG로 수집하는 M365 Copilot을 조작해 송금 계좌 정보를 바꿔치기
• [ATLAS CS0041·실증] AI 코딩도구 규칙 파일에 보이지 않는 유니코드 지시를 숨겨 악성 코드 생성 유도
• [ATLAS CS0059·실증] EchoLeak: 메일 한 통으로 M365 Copilot이 사용자 조작 없이 기업 데이터 유출(제로클릭)</t>
        </is>
      </c>
      <c r="H120" s="11" t="inlineStr">
        <is>
          <t>중</t>
        </is>
      </c>
      <c r="I120" s="11" t="inlineStr">
        <is>
          <t>중</t>
        </is>
      </c>
      <c r="J120" s="13">
        <f>IF(AND(H120="상",I120="상"),"매우 높음",IF(OR(AND(H120="상",I120="중"),AND(H120="중",I120="상")),"높음",IF(OR(AND(H120="중",I120="중"),AND(H120="상",I120="하"),AND(H120="하",I120="상")),"보통","낮음")))</f>
        <v/>
      </c>
      <c r="K120" s="5" t="inlineStr">
        <is>
          <t>개별 거래 단위 금전 피해</t>
        </is>
      </c>
      <c r="L120" s="11" t="inlineStr">
        <is>
          <t>실증·공개 취약점</t>
        </is>
      </c>
      <c r="M120" s="11" t="n">
        <v>0</v>
      </c>
      <c r="N120" s="5" t="inlineStr">
        <is>
          <t>방어 회피(Defense Evasion)</t>
        </is>
      </c>
      <c r="O120" s="5" t="inlineStr">
        <is>
          <t>T0067, T0067.000</t>
        </is>
      </c>
      <c r="P120" s="5" t="inlineStr">
        <is>
          <t>ASI09</t>
        </is>
      </c>
      <c r="Q120" s="5" t="inlineStr">
        <is>
          <t>다단계 승인·위험 배지, 제안·근거 불변 로그, 인용 출처 검증 UI, 사용자 교육</t>
        </is>
      </c>
    </row>
    <row r="121" ht="41.5" customHeight="1">
      <c r="A121" s="10" t="inlineStr">
        <is>
          <t>D10. 사용자 기만 및 AI 거버넌스 미흡</t>
        </is>
      </c>
      <c r="B121" s="11" t="inlineStr">
        <is>
          <t>UT-34</t>
        </is>
      </c>
      <c r="C121" s="5" t="inlineStr">
        <is>
          <t>인간-에이전트 신뢰 악용</t>
        </is>
      </c>
      <c r="D121" s="11" t="inlineStr">
        <is>
          <t>UT-34.2</t>
        </is>
      </c>
      <c r="E121" s="12" t="inlineStr">
        <is>
          <t>에이전트 경유 사회공학</t>
        </is>
      </c>
      <c r="F121" s="14" t="inlineStr">
        <is>
          <t>인젝션된 에이전트가 신뢰받는 지원 역할을 이용해 사용자에게 자격증명 입력, 송금, 보안 설정 변경을 유도</t>
        </is>
      </c>
      <c r="G121" s="14" t="inlineStr">
        <is>
          <t>• [ATLAS CS0020·실증] 웹페이지 숨은 지시로 Bing Chat이 사용자 개인정보를 캐내는 사회공학 수행
• [OWASP 시나리오] 인젝션된 IT 지원 에이전트의 신입 자격증명 요구, 오염 송장 기반 사기 송금 권고(ASI09 시나리오#2·#3)</t>
        </is>
      </c>
      <c r="H121" s="11" t="inlineStr">
        <is>
          <t>중</t>
        </is>
      </c>
      <c r="I121" s="11" t="inlineStr">
        <is>
          <t>중</t>
        </is>
      </c>
      <c r="J121" s="13">
        <f>IF(AND(H121="상",I121="상"),"매우 높음",IF(OR(AND(H121="상",I121="중"),AND(H121="중",I121="상")),"높음",IF(OR(AND(H121="중",I121="중"),AND(H121="상",I121="하"),AND(H121="하",I121="상")),"보통","낮음")))</f>
        <v/>
      </c>
      <c r="K121" s="5" t="inlineStr">
        <is>
          <t>사용자 자격증명 및 송금 피해</t>
        </is>
      </c>
      <c r="L121" s="11" t="inlineStr">
        <is>
          <t>실증·공개 취약점</t>
        </is>
      </c>
      <c r="M121" s="11" t="n">
        <v>0</v>
      </c>
      <c r="N121" s="5" t="inlineStr">
        <is>
          <t>초기 접근(Initial Access)</t>
        </is>
      </c>
      <c r="O121" s="5" t="n"/>
      <c r="P121" s="5" t="inlineStr">
        <is>
          <t>ASI09</t>
        </is>
      </c>
      <c r="Q121" s="5" t="inlineStr">
        <is>
          <t>다단계 승인·위험 배지, 제안·근거 불변 로그, 인용 출처 검증 UI, 사용자 교육</t>
        </is>
      </c>
    </row>
    <row r="122" ht="41.5" customHeight="1">
      <c r="A122" s="10" t="inlineStr">
        <is>
          <t>D10. 사용자 기만 및 AI 거버넌스 미흡</t>
        </is>
      </c>
      <c r="B122" s="11" t="inlineStr">
        <is>
          <t>UT-34</t>
        </is>
      </c>
      <c r="C122" s="5" t="inlineStr">
        <is>
          <t>인간-에이전트 신뢰 악용</t>
        </is>
      </c>
      <c r="D122" s="11" t="inlineStr">
        <is>
          <t>UT-34.3</t>
        </is>
      </c>
      <c r="E122" s="12" t="inlineStr">
        <is>
          <t>승인 피로 악용</t>
        </is>
      </c>
      <c r="F122" s="14" t="inlineStr">
        <is>
          <t>빈번한 승인 요청과 그럴듯하게 날조된 근거로 승인자의 검토를 형식화시켜 위험한 변경과 조치를 사람 승인 하에 실행</t>
        </is>
      </c>
      <c r="G122" s="14" t="inlineStr">
        <is>
          <t>• [OWASP 인용] Replit 에이전트의 결과 은폐 및 허위 보고(2025.07)
• [OWASP 시나리오] 날조된 감사 근거로 위험 설정 변경 승인 획득(ASI09 시나리오#4)</t>
        </is>
      </c>
      <c r="H122" s="11" t="inlineStr">
        <is>
          <t>중</t>
        </is>
      </c>
      <c r="I122" s="11" t="inlineStr">
        <is>
          <t>중</t>
        </is>
      </c>
      <c r="J122" s="13">
        <f>IF(AND(H122="상",I122="상"),"매우 높음",IF(OR(AND(H122="상",I122="중"),AND(H122="중",I122="상")),"높음",IF(OR(AND(H122="중",I122="중"),AND(H122="상",I122="하"),AND(H122="하",I122="상")),"보통","낮음")))</f>
        <v/>
      </c>
      <c r="K122" s="5" t="inlineStr">
        <is>
          <t>형식적 승인 하의 위험 조치 실행</t>
        </is>
      </c>
      <c r="L122" s="11" t="inlineStr">
        <is>
          <t>실제 사고 확인</t>
        </is>
      </c>
      <c r="M122" s="11" t="n">
        <v>1</v>
      </c>
      <c r="N122" s="5" t="inlineStr">
        <is>
          <t>방어 회피(Defense Evasion)</t>
        </is>
      </c>
      <c r="O122" s="5" t="n"/>
      <c r="P122" s="5" t="inlineStr">
        <is>
          <t>ASI09</t>
        </is>
      </c>
      <c r="Q122" s="5" t="inlineStr">
        <is>
          <t>다단계 승인·위험 배지, 제안·근거 불변 로그, 인용 출처 검증 UI, 사용자 교육</t>
        </is>
      </c>
    </row>
    <row r="123" ht="41.5" customHeight="1">
      <c r="A123" s="10" t="inlineStr">
        <is>
          <t>D10. 사용자 기만 및 AI 거버넌스 미흡</t>
        </is>
      </c>
      <c r="B123" s="11" t="inlineStr">
        <is>
          <t>UT-35</t>
        </is>
      </c>
      <c r="C123" s="5" t="inlineStr">
        <is>
          <t>AI 활동 감사 부재</t>
        </is>
      </c>
      <c r="D123" s="11" t="inlineStr">
        <is>
          <t>UT-35.1</t>
        </is>
      </c>
      <c r="E123" s="12" t="inlineStr">
        <is>
          <t>행위 기록 부재</t>
        </is>
      </c>
      <c r="F123" s="14" t="inlineStr">
        <is>
          <t>도구 호출/컨텍스트 변경/에이전트 의사결정 근거가 기록되지 않아 사고 탐지, 원인 분석, 책임 규명 불가</t>
        </is>
      </c>
      <c r="G123" s="14" t="inlineStr">
        <is>
          <t>• [OWASP 시나리오] MCP 서버·에이전트의 원격 측정 부족으로 조사·대응 지연(MCP08 개요)</t>
        </is>
      </c>
      <c r="H123" s="11" t="inlineStr">
        <is>
          <t>하</t>
        </is>
      </c>
      <c r="I123" s="11" t="inlineStr">
        <is>
          <t>중</t>
        </is>
      </c>
      <c r="J123" s="13">
        <f>IF(AND(H123="상",I123="상"),"매우 높음",IF(OR(AND(H123="상",I123="중"),AND(H123="중",I123="상")),"높음",IF(OR(AND(H123="중",I123="중"),AND(H123="상",I123="하"),AND(H123="하",I123="상")),"보통","낮음")))</f>
        <v/>
      </c>
      <c r="K123" s="5" t="inlineStr">
        <is>
          <t>사고 대응 지연(간접 피해 확대)</t>
        </is>
      </c>
      <c r="L123" s="11" t="inlineStr">
        <is>
          <t>이론·시나리오</t>
        </is>
      </c>
      <c r="M123" s="11" t="n">
        <v>0</v>
      </c>
      <c r="N123" s="5" t="inlineStr">
        <is>
          <t>해당 없음(구조적 결함)</t>
        </is>
      </c>
      <c r="O123" s="5" t="n"/>
      <c r="P123" s="5" t="inlineStr">
        <is>
          <t>MCP08</t>
        </is>
      </c>
      <c r="Q123" s="5" t="inlineStr">
        <is>
          <t>AI 텔레메트리 로깅(민감정보 마스킹 병행), 변조방지 감사로그, 계보·결정 근거 기록</t>
        </is>
      </c>
    </row>
    <row r="124" ht="41.5" customHeight="1">
      <c r="A124" s="10" t="inlineStr">
        <is>
          <t>D10. 사용자 기만 및 AI 거버넌스 미흡</t>
        </is>
      </c>
      <c r="B124" s="11" t="inlineStr">
        <is>
          <t>UT-35</t>
        </is>
      </c>
      <c r="C124" s="5" t="inlineStr">
        <is>
          <t>AI 활동 감사 부재</t>
        </is>
      </c>
      <c r="D124" s="11" t="inlineStr">
        <is>
          <t>UT-35.2</t>
        </is>
      </c>
      <c r="E124" s="12" t="inlineStr">
        <is>
          <t>로그 무결성 부재</t>
        </is>
      </c>
      <c r="F124" s="14" t="inlineStr">
        <is>
          <t>로그가 변조 가능한 저장소에 보관되거나 에이전트가 자신의 로그를 수정할 수 있어 공격 흔적 삭제 및 행위 부인 가능</t>
        </is>
      </c>
      <c r="G124" s="14" t="inlineStr">
        <is>
          <t>• [OWASP 시나리오] 불변 감사 로그 부재 시 에이전트 행위의 부인·추적 불능(ASI 위협 T8 Repudiation)</t>
        </is>
      </c>
      <c r="H124" s="11" t="inlineStr">
        <is>
          <t>하</t>
        </is>
      </c>
      <c r="I124" s="11" t="inlineStr">
        <is>
          <t>중</t>
        </is>
      </c>
      <c r="J124" s="13">
        <f>IF(AND(H124="상",I124="상"),"매우 높음",IF(OR(AND(H124="상",I124="중"),AND(H124="중",I124="상")),"높음",IF(OR(AND(H124="중",I124="중"),AND(H124="상",I124="하"),AND(H124="하",I124="상")),"보통","낮음")))</f>
        <v/>
      </c>
      <c r="K124" s="5" t="inlineStr">
        <is>
          <t>흔적 삭제 및 행위 부인 가능</t>
        </is>
      </c>
      <c r="L124" s="11" t="inlineStr">
        <is>
          <t>이론·시나리오</t>
        </is>
      </c>
      <c r="M124" s="11" t="n">
        <v>0</v>
      </c>
      <c r="N124" s="5" t="inlineStr">
        <is>
          <t>해당 없음(구조적 결함)</t>
        </is>
      </c>
      <c r="O124" s="5" t="n"/>
      <c r="P124" s="5" t="inlineStr">
        <is>
          <t>MCP08</t>
        </is>
      </c>
      <c r="Q124" s="5" t="inlineStr">
        <is>
          <t>AI 텔레메트리 로깅(민감정보 마스킹 병행), 변조방지 감사로그, 계보·결정 근거 기록</t>
        </is>
      </c>
    </row>
    <row r="125" ht="41.5" customHeight="1">
      <c r="A125" s="10" t="inlineStr">
        <is>
          <t>D10. 사용자 기만 및 AI 거버넌스 미흡</t>
        </is>
      </c>
      <c r="B125" s="11" t="inlineStr">
        <is>
          <t>UT-36</t>
        </is>
      </c>
      <c r="C125" s="5" t="inlineStr">
        <is>
          <t>데이터 수명주기 관리 실패</t>
        </is>
      </c>
      <c r="D125" s="11" t="inlineStr">
        <is>
          <t>UT-36.1</t>
        </is>
      </c>
      <c r="E125" s="12" t="inlineStr">
        <is>
          <t>파생물 분류 미전파</t>
        </is>
      </c>
      <c r="F125" s="14" t="inlineStr">
        <is>
          <t>원본 데이터의 분류/보존 정책이 임베딩, 파인튜닝 가중치, 캐시 등 파생물로 전파되지 않아 민감 데이터가 정책 밖에서 장기 보존 및 활용</t>
        </is>
      </c>
      <c r="G125" s="14" t="inlineStr">
        <is>
          <t>• [OWASP 시나리오] 분류 라벨이 원본에서 멈추고 임베딩·백업·가중치로 전파되지 않음(DSGAI07)</t>
        </is>
      </c>
      <c r="H125" s="11" t="inlineStr">
        <is>
          <t>하</t>
        </is>
      </c>
      <c r="I125" s="11" t="inlineStr">
        <is>
          <t>중</t>
        </is>
      </c>
      <c r="J125" s="13">
        <f>IF(AND(H125="상",I125="상"),"매우 높음",IF(OR(AND(H125="상",I125="중"),AND(H125="중",I125="상")),"높음",IF(OR(AND(H125="중",I125="중"),AND(H125="상",I125="하"),AND(H125="하",I125="상")),"보통","낮음")))</f>
        <v/>
      </c>
      <c r="K125" s="5" t="inlineStr">
        <is>
          <t>정책 밖 민감 데이터 장기 보존</t>
        </is>
      </c>
      <c r="L125" s="11" t="inlineStr">
        <is>
          <t>이론·시나리오</t>
        </is>
      </c>
      <c r="M125" s="11" t="n">
        <v>0</v>
      </c>
      <c r="N125" s="5" t="inlineStr">
        <is>
          <t>해당 없음(구조적 결함)</t>
        </is>
      </c>
      <c r="O125" s="5" t="n"/>
      <c r="P125" s="5" t="inlineStr">
        <is>
          <t>DSGAI07</t>
        </is>
      </c>
      <c r="Q125" s="5" t="inlineStr">
        <is>
          <t>데이터→모델 계보, 파생물까지 분류·보존·삭제 정책 전파, 폐기 증적, DPIA, 재식별 위험 평가</t>
        </is>
      </c>
    </row>
    <row r="126" ht="41.5" customHeight="1">
      <c r="A126" s="10" t="inlineStr">
        <is>
          <t>D10. 사용자 기만 및 AI 거버넌스 미흡</t>
        </is>
      </c>
      <c r="B126" s="11" t="inlineStr">
        <is>
          <t>UT-36</t>
        </is>
      </c>
      <c r="C126" s="5" t="inlineStr">
        <is>
          <t>데이터 수명주기 관리 실패</t>
        </is>
      </c>
      <c r="D126" s="11" t="inlineStr">
        <is>
          <t>UT-36.2</t>
        </is>
      </c>
      <c r="E126" s="12" t="inlineStr">
        <is>
          <t>삭제권 이행 불가</t>
        </is>
      </c>
      <c r="F126" s="14" t="inlineStr">
        <is>
          <t>정보주체 삭제 요청 시 원본만 삭제되고 모델 가중치/벡터 색인에 데이터가 잔존하여 법적 삭제 의무(예: GDPR 제17조) 위반</t>
        </is>
      </c>
      <c r="G126" s="14" t="inlineStr">
        <is>
          <t>• [OWASP 시나리오] GDPR 제17조 삭제 요청 후에도 모델 가중치에 데이터 잔존(DSGAI08 시나리오)</t>
        </is>
      </c>
      <c r="H126" s="11" t="inlineStr">
        <is>
          <t>하</t>
        </is>
      </c>
      <c r="I126" s="11" t="inlineStr">
        <is>
          <t>중</t>
        </is>
      </c>
      <c r="J126" s="13">
        <f>IF(AND(H126="상",I126="상"),"매우 높음",IF(OR(AND(H126="상",I126="중"),AND(H126="중",I126="상")),"높음",IF(OR(AND(H126="중",I126="중"),AND(H126="상",I126="하"),AND(H126="하",I126="상")),"보통","낮음")))</f>
        <v/>
      </c>
      <c r="K126" s="5" t="inlineStr">
        <is>
          <t>법적 삭제 의무 위반(규제 제재)</t>
        </is>
      </c>
      <c r="L126" s="11" t="inlineStr">
        <is>
          <t>이론·시나리오</t>
        </is>
      </c>
      <c r="M126" s="11" t="n">
        <v>0</v>
      </c>
      <c r="N126" s="5" t="inlineStr">
        <is>
          <t>해당 없음(구조적 결함)</t>
        </is>
      </c>
      <c r="O126" s="5" t="n"/>
      <c r="P126" s="5" t="inlineStr">
        <is>
          <t>DSGAI08</t>
        </is>
      </c>
      <c r="Q126" s="5" t="inlineStr">
        <is>
          <t>데이터→모델 계보, 파생물까지 분류·보존·삭제 정책 전파, 폐기 증적, DPIA, 재식별 위험 평가</t>
        </is>
      </c>
    </row>
    <row r="127" ht="41.5" customHeight="1">
      <c r="A127" s="10" t="inlineStr">
        <is>
          <t>D10. 사용자 기만 및 AI 거버넌스 미흡</t>
        </is>
      </c>
      <c r="B127" s="11" t="inlineStr">
        <is>
          <t>UT-36</t>
        </is>
      </c>
      <c r="C127" s="5" t="inlineStr">
        <is>
          <t>데이터 수명주기 관리 실패</t>
        </is>
      </c>
      <c r="D127" s="11" t="inlineStr">
        <is>
          <t>UT-36.3</t>
        </is>
      </c>
      <c r="E127" s="12" t="inlineStr">
        <is>
          <t>비식별 데이터 재식별</t>
        </is>
      </c>
      <c r="F127" s="14" t="inlineStr">
        <is>
          <t>비식별/합성 데이터에 남은 희귀 준식별자 조합을 결합 분석하여 개인을 재식별하고, 해당 데이터로 학습한 모델을 통해 노출</t>
        </is>
      </c>
      <c r="G127" s="14" t="inlineStr">
        <is>
          <t>• [OWASP 시나리오] '비식별' 데이터로 파인튜닝한 임상 LLM에서 희귀 준식별자 조합으로 재식별(DSGAI10 시나리오)</t>
        </is>
      </c>
      <c r="H127" s="11" t="inlineStr">
        <is>
          <t>하</t>
        </is>
      </c>
      <c r="I127" s="11" t="inlineStr">
        <is>
          <t>중</t>
        </is>
      </c>
      <c r="J127" s="13">
        <f>IF(AND(H127="상",I127="상"),"매우 높음",IF(OR(AND(H127="상",I127="중"),AND(H127="중",I127="상")),"높음",IF(OR(AND(H127="중",I127="중"),AND(H127="상",I127="하"),AND(H127="하",I127="상")),"보통","낮음")))</f>
        <v/>
      </c>
      <c r="K127" s="5" t="inlineStr">
        <is>
          <t>개인 재식별에 따른 프라이버시 침해</t>
        </is>
      </c>
      <c r="L127" s="11" t="inlineStr">
        <is>
          <t>이론·시나리오</t>
        </is>
      </c>
      <c r="M127" s="11" t="n">
        <v>0</v>
      </c>
      <c r="N127" s="5" t="inlineStr">
        <is>
          <t>해당 없음(구조적 결함)</t>
        </is>
      </c>
      <c r="O127" s="5" t="n"/>
      <c r="P127" s="5" t="inlineStr">
        <is>
          <t>DSGAI10</t>
        </is>
      </c>
      <c r="Q127" s="5" t="inlineStr">
        <is>
          <t>데이터→모델 계보, 파생물까지 분류·보존·삭제 정책 전파, 폐기 증적, DPIA, 재식별 위험 평가</t>
        </is>
      </c>
    </row>
    <row r="128" ht="41.5" customHeight="1">
      <c r="A128" s="10" t="inlineStr">
        <is>
          <t>D10. 사용자 기만 및 AI 거버넌스 미흡</t>
        </is>
      </c>
      <c r="B128" s="11" t="inlineStr">
        <is>
          <t>UT-36</t>
        </is>
      </c>
      <c r="C128" s="5" t="inlineStr">
        <is>
          <t>데이터 수명주기 관리 실패</t>
        </is>
      </c>
      <c r="D128" s="11" t="inlineStr">
        <is>
          <t>UT-36.4</t>
        </is>
      </c>
      <c r="E128" s="12" t="inlineStr">
        <is>
          <t>폐기 후 데이터 잔존</t>
        </is>
      </c>
      <c r="F128" s="14" t="inlineStr">
        <is>
          <t>자산 폐기 이후에도 백업, 복제본, 장애조치용 스냅샷에 삭제 대상 데이터가 남아 복구 및 장애 전환 시 재노출</t>
        </is>
      </c>
      <c r="G128" s="14" t="inlineStr">
        <is>
          <t>• [OWASP 시나리오] 오래된 복제본 장애조치로 삭제 레코드가 재노출(DSGAI17 시나리오)</t>
        </is>
      </c>
      <c r="H128" s="11" t="inlineStr">
        <is>
          <t>하</t>
        </is>
      </c>
      <c r="I128" s="11" t="inlineStr">
        <is>
          <t>중</t>
        </is>
      </c>
      <c r="J128" s="13">
        <f>IF(AND(H128="상",I128="상"),"매우 높음",IF(OR(AND(H128="상",I128="중"),AND(H128="중",I128="상")),"높음",IF(OR(AND(H128="중",I128="중"),AND(H128="상",I128="하"),AND(H128="하",I128="상")),"보통","낮음")))</f>
        <v/>
      </c>
      <c r="K128" s="5" t="inlineStr">
        <is>
          <t>폐기 데이터 재노출</t>
        </is>
      </c>
      <c r="L128" s="11" t="inlineStr">
        <is>
          <t>이론·시나리오</t>
        </is>
      </c>
      <c r="M128" s="11" t="n">
        <v>0</v>
      </c>
      <c r="N128" s="5" t="inlineStr">
        <is>
          <t>해당 없음(구조적 결함)</t>
        </is>
      </c>
      <c r="O128" s="5" t="n"/>
      <c r="P128" s="5" t="inlineStr">
        <is>
          <t>DSGAI07</t>
        </is>
      </c>
      <c r="Q128" s="5" t="inlineStr">
        <is>
          <t>데이터→모델 계보, 파생물까지 분류·보존·삭제 정책 전파, 폐기 증적, DPIA, 재식별 위험 평가</t>
        </is>
      </c>
    </row>
  </sheetData>
  <autoFilter ref="A4:Q128"/>
  <mergeCells count="3">
    <mergeCell ref="A3:G3"/>
    <mergeCell ref="H3:M3"/>
    <mergeCell ref="N3:P3"/>
  </mergeCells>
  <conditionalFormatting sqref="H5:H128">
    <cfRule type="cellIs" priority="1" operator="equal" dxfId="0">
      <formula>"상"</formula>
    </cfRule>
    <cfRule type="cellIs" priority="2" operator="equal" dxfId="1">
      <formula>"중"</formula>
    </cfRule>
    <cfRule type="cellIs" priority="3" operator="equal" dxfId="2">
      <formula>"하"</formula>
    </cfRule>
  </conditionalFormatting>
  <conditionalFormatting sqref="I5:I128">
    <cfRule type="cellIs" priority="4" operator="equal" dxfId="0">
      <formula>"상"</formula>
    </cfRule>
    <cfRule type="cellIs" priority="5" operator="equal" dxfId="1">
      <formula>"중"</formula>
    </cfRule>
    <cfRule type="cellIs" priority="6" operator="equal" dxfId="2">
      <formula>"하"</formula>
    </cfRule>
  </conditionalFormatting>
  <conditionalFormatting sqref="J5:J128">
    <cfRule type="cellIs" priority="7" operator="equal" dxfId="3">
      <formula>"매우 높음"</formula>
    </cfRule>
    <cfRule type="cellIs" priority="8" operator="equal" dxfId="4">
      <formula>"높음"</formula>
    </cfRule>
    <cfRule type="cellIs" priority="9" operator="equal" dxfId="5">
      <formula>"보통"</formula>
    </cfRule>
    <cfRule type="cellIs" priority="10" operator="equal" dxfId="6">
      <formula>"낮음"</formula>
    </cfRule>
  </conditionalFormatting>
  <conditionalFormatting sqref="L5:L128">
    <cfRule type="cellIs" priority="11" operator="equal" dxfId="0">
      <formula>"실제 사고 확인"</formula>
    </cfRule>
    <cfRule type="cellIs" priority="12" operator="equal" dxfId="7">
      <formula>"실사용 기법 포함"</formula>
    </cfRule>
    <cfRule type="cellIs" priority="13" operator="equal" dxfId="1">
      <formula>"실증·공개 취약점"</formula>
    </cfRule>
    <cfRule type="cellIs" priority="14" operator="equal" dxfId="8">
      <formula>"이론·시나리오"</formula>
    </cfRule>
  </conditionalFormatting>
  <dataValidations count="1">
    <dataValidation sqref="H5:I128" showDropDown="0" showInputMessage="0" showErrorMessage="0" allowBlank="0" type="list">
      <formula1>"상,중,하"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40" customWidth="1" min="4" max="4"/>
    <col width="4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분류 체계 정의와 위험 평가 기준</t>
        </is>
      </c>
    </row>
    <row r="3">
      <c r="A3" s="3" t="inlineStr">
        <is>
          <t>1. 3단 분류 체계</t>
        </is>
      </c>
    </row>
    <row r="4">
      <c r="A4" s="4" t="inlineStr">
        <is>
          <t>단계</t>
        </is>
      </c>
      <c r="B4" s="4" t="inlineStr">
        <is>
          <t>정의</t>
        </is>
      </c>
      <c r="C4" s="4" t="inlineStr">
        <is>
          <t>작성 규칙</t>
        </is>
      </c>
      <c r="D4" s="4" t="inlineStr">
        <is>
          <t>개수</t>
        </is>
      </c>
    </row>
    <row r="5">
      <c r="A5" s="5" t="inlineStr">
        <is>
          <t>Lv1 도메인</t>
        </is>
      </c>
      <c r="B5" s="5" t="inlineStr">
        <is>
          <t>영역별 보안 리스크(공격 흐름상 위협 행위자 영역을 D01로 배치)</t>
        </is>
      </c>
      <c r="C5" s="5" t="inlineStr">
        <is>
          <t>OWASP 위협·리스크 명명 규칙 준용: [영역] + [위협 명사], 대등한 두 위협만 '및'으로 결합 / 경계 판정 규칙은 아래 2번 표</t>
        </is>
      </c>
      <c r="D5" s="6">
        <f>SUMPRODUCT(1/COUNTIF(통합매트릭스!$A$5:$A$128,통합매트릭스!$A$5:$A$128))</f>
        <v/>
      </c>
    </row>
    <row r="6">
      <c r="A6" s="5" t="inlineStr">
        <is>
          <t>Lv2 위협 분류</t>
        </is>
      </c>
      <c r="B6" s="5" t="inlineStr">
        <is>
          <t>통합 위협(UT). ID 불변</t>
        </is>
      </c>
      <c r="C6" s="5" t="inlineStr">
        <is>
          <t>'·' 나열 없이 하나의 개념으로 명명</t>
        </is>
      </c>
      <c r="D6" s="6">
        <f>SUMPRODUCT(1/COUNTIF(통합매트릭스!$B$5:$B$128,통합매트릭스!$B$5:$B$128))</f>
        <v/>
      </c>
    </row>
    <row r="7">
      <c r="A7" s="5" t="inlineStr">
        <is>
          <t>Lv3 세부 위협</t>
        </is>
      </c>
      <c r="B7" s="5" t="inlineStr">
        <is>
          <t>Lv2 안에서 공격 경로 또는 발생 원리가 독립된 위협</t>
        </is>
      </c>
      <c r="C7" s="5" t="inlineStr">
        <is>
          <t>① 독립 메커니즘 ② 근거 1개 이상(ATLAS 기법·OWASP 예시·사례) ③ 공격 단계·생애주기·통제 중 하나 이상 구별 / 병합·폐지된 ID는 재사용하지 않고 신설은 해당 Lv2의 다음 번호 부여</t>
        </is>
      </c>
      <c r="D7" s="6">
        <f>COUNTA(통합매트릭스!$D$5:$D$128)</f>
        <v/>
      </c>
    </row>
    <row r="9">
      <c r="A9" s="3" t="inlineStr">
        <is>
          <t>2. Lv1 도메인 정의</t>
        </is>
      </c>
    </row>
    <row r="10">
      <c r="A10" s="4" t="inlineStr">
        <is>
          <t>도메인</t>
        </is>
      </c>
      <c r="B10" s="4" t="inlineStr">
        <is>
          <t>영문명</t>
        </is>
      </c>
      <c r="C10" s="4" t="inlineStr">
        <is>
          <t>리스크 정의</t>
        </is>
      </c>
      <c r="D10" s="4" t="inlineStr">
        <is>
          <t>주요 대상 영역</t>
        </is>
      </c>
      <c r="E10" s="4" t="inlineStr">
        <is>
          <t>경계 판정 규칙</t>
        </is>
      </c>
      <c r="F10" s="4" t="inlineStr">
        <is>
          <t>Lv2 수</t>
        </is>
      </c>
      <c r="G10" s="4" t="inlineStr">
        <is>
          <t>Lv3 수</t>
        </is>
      </c>
      <c r="H10" s="4" t="inlineStr">
        <is>
          <t>위험도 '매우 높음'·'높음' Lv3</t>
        </is>
      </c>
    </row>
    <row r="11">
      <c r="A11" s="5" t="inlineStr">
        <is>
          <t>D01. 공격 준비 및 AI 무기화</t>
        </is>
      </c>
      <c r="B11" s="5" t="inlineStr">
        <is>
          <t>Attack Preparation &amp; AI Weaponization</t>
        </is>
      </c>
      <c r="C11" s="5" t="inlineStr">
        <is>
          <t>위협 행위자가 AI 자산을 정찰하고 공격 역량을 확보하거나, AI를 공격 수단으로 활용하여 자율 공격, 기만, 은닉 통신을 수행하는 리스크</t>
        </is>
      </c>
      <c r="D11" s="5" t="inlineStr">
        <is>
          <t>공개 정보, 공격 도구와 인프라, 공격자 AI 에이전트, 딥페이크, 제3자 AI 서비스</t>
        </is>
      </c>
      <c r="E11" s="5" t="inlineStr">
        <is>
          <t>위협 행위자 소유 자산 또는 조직 외부 활동이면 D01. 조직 자산이 직접 훼손되면 해당 영역 도메인으로 분류</t>
        </is>
      </c>
      <c r="F11" s="6">
        <f>SUMPRODUCT((통합매트릭스!$A$5:$A$128=A11)/COUNTIFS(통합매트릭스!$A$5:$A$128,통합매트릭스!$A$5:$A$128,통합매트릭스!$B$5:$B$128,통합매트릭스!$B$5:$B$128))</f>
        <v/>
      </c>
      <c r="G11" s="6">
        <f>COUNTIF(통합매트릭스!$A$5:$A$128,A11)</f>
        <v/>
      </c>
      <c r="H11" s="6">
        <f>COUNTIFS(통합매트릭스!$A$5:$A$128,A11,통합매트릭스!$J$5:$J$128,"매우 높음")+COUNTIFS(통합매트릭스!$A$5:$A$128,A11,통합매트릭스!$J$5:$J$128,"높음")</f>
        <v/>
      </c>
    </row>
    <row r="12">
      <c r="A12" s="5" t="inlineStr">
        <is>
          <t>D02. 프롬프트 인젝션 및 컨텍스트 노출</t>
        </is>
      </c>
      <c r="B12" s="5" t="inlineStr">
        <is>
          <t>Prompt Injection &amp; Context Exposure</t>
        </is>
      </c>
      <c r="C12" s="5" t="inlineStr">
        <is>
          <t>사용자 입력이나 외부 콘텐츠에 삽입된 조작 지시로 모델 동작이 탈취되거나, 시스템 프롬프트 등 비공개 컨텍스트가 노출되는 리스크</t>
        </is>
      </c>
      <c r="D12" s="5" t="inlineStr">
        <is>
          <t>사용자 입력, 외부 콘텐츠와 도구 응답(지시 전달 경로), 시스템 프롬프트, 에이전트 구성 정보</t>
        </is>
      </c>
      <c r="E12" s="5" t="inlineStr">
        <is>
          <t>지시가 모델에 도달하는 경로가 핵심이면 D02. 지시가 저장소에 지속 기록되면 D03</t>
        </is>
      </c>
      <c r="F12" s="6">
        <f>SUMPRODUCT((통합매트릭스!$A$5:$A$128=A12)/COUNTIFS(통합매트릭스!$A$5:$A$128,통합매트릭스!$A$5:$A$128,통합매트릭스!$B$5:$B$128,통합매트릭스!$B$5:$B$128))</f>
        <v/>
      </c>
      <c r="G12" s="6">
        <f>COUNTIF(통합매트릭스!$A$5:$A$128,A12)</f>
        <v/>
      </c>
      <c r="H12" s="6">
        <f>COUNTIFS(통합매트릭스!$A$5:$A$128,A12,통합매트릭스!$J$5:$J$128,"매우 높음")+COUNTIFS(통합매트릭스!$A$5:$A$128,A12,통합매트릭스!$J$5:$J$128,"높음")</f>
        <v/>
      </c>
    </row>
    <row r="13">
      <c r="A13" s="5" t="inlineStr">
        <is>
          <t>D03. AI 데이터 오염 및 유출</t>
        </is>
      </c>
      <c r="B13" s="5" t="inlineStr">
        <is>
          <t>AI Data Poisoning &amp; Leakage</t>
        </is>
      </c>
      <c r="C13" s="5" t="inlineStr">
        <is>
          <t>학습 데이터, RAG 지식원, 에이전트 메모리가 오염되거나, 민감정보가 응답과 입력 경로 또는 사용자 간 격리 결함을 통해 유출되는 리스크</t>
        </is>
      </c>
      <c r="D13" s="5" t="inlineStr">
        <is>
          <t>학습 및 파인튜닝 데이터, RAG 코퍼스와 임베딩, 벡터 DB, 에이전트 메모리와 대화 이력</t>
        </is>
      </c>
      <c r="E13" s="5" t="inlineStr">
        <is>
          <t>데이터가 저장되거나 색인되는 지점의 리스크면 D03. 모델 가중치 자체의 변조는 D04</t>
        </is>
      </c>
      <c r="F13" s="6">
        <f>SUMPRODUCT((통합매트릭스!$A$5:$A$128=A13)/COUNTIFS(통합매트릭스!$A$5:$A$128,통합매트릭스!$A$5:$A$128,통합매트릭스!$B$5:$B$128,통합매트릭스!$B$5:$B$128))</f>
        <v/>
      </c>
      <c r="G13" s="6">
        <f>COUNTIF(통합매트릭스!$A$5:$A$128,A13)</f>
        <v/>
      </c>
      <c r="H13" s="6">
        <f>COUNTIFS(통합매트릭스!$A$5:$A$128,A13,통합매트릭스!$J$5:$J$128,"매우 높음")+COUNTIFS(통합매트릭스!$A$5:$A$128,A13,통합매트릭스!$J$5:$J$128,"높음")</f>
        <v/>
      </c>
    </row>
    <row r="14">
      <c r="A14" s="5" t="inlineStr">
        <is>
          <t>D04. 모델 조작 및 탈취</t>
        </is>
      </c>
      <c r="B14" s="5" t="inlineStr">
        <is>
          <t>Model Manipulation &amp; Theft</t>
        </is>
      </c>
      <c r="C14" s="5" t="inlineStr">
        <is>
          <t>모델 가중치와 구조가 변조되거나 적대적 입력에 의해 판단이 조작되고, 모델 자산 또는 학습 데이터가 질의와 파일 탈취로 유출되는 리스크</t>
        </is>
      </c>
      <c r="D14" s="5" t="inlineStr">
        <is>
          <t>모델 가중치와 아키텍처, 추론 템플릿, 추론 API, 예측 모델</t>
        </is>
      </c>
      <c r="E14" s="5" t="inlineStr">
        <is>
          <t>모델 파일, 가중치, 추론 동작이 공격 대상이면 D04</t>
        </is>
      </c>
      <c r="F14" s="6">
        <f>SUMPRODUCT((통합매트릭스!$A$5:$A$128=A14)/COUNTIFS(통합매트릭스!$A$5:$A$128,통합매트릭스!$A$5:$A$128,통합매트릭스!$B$5:$B$128,통합매트릭스!$B$5:$B$128))</f>
        <v/>
      </c>
      <c r="G14" s="6">
        <f>COUNTIF(통합매트릭스!$A$5:$A$128,A14)</f>
        <v/>
      </c>
      <c r="H14" s="6">
        <f>COUNTIFS(통합매트릭스!$A$5:$A$128,A14,통합매트릭스!$J$5:$J$128,"매우 높음")+COUNTIFS(통합매트릭스!$A$5:$A$128,A14,통합매트릭스!$J$5:$J$128,"높음")</f>
        <v/>
      </c>
    </row>
    <row r="15">
      <c r="A15" s="5" t="inlineStr">
        <is>
          <t>D05. 출력 처리 결함 및 신뢰성 훼손</t>
        </is>
      </c>
      <c r="B15" s="5" t="inlineStr">
        <is>
          <t>Output Handling Flaws &amp; Integrity Loss</t>
        </is>
      </c>
      <c r="C15" s="5" t="inlineStr">
        <is>
          <t>모델 출력이 검증 없이 후속 시스템에서 해석되거나 반출 경로로 악용되고, 허위 또는 편향된 출력이 업무 판단에 채택되는 리스크</t>
        </is>
      </c>
      <c r="D15" s="5" t="inlineStr">
        <is>
          <t>출력 렌더링 환경(브라우저, 터미널, IDE), 출력 기반 DB 질의, 출력 채널</t>
        </is>
      </c>
      <c r="E15" s="5" t="inlineStr">
        <is>
          <t>출력의 검증, 신뢰성, 반출 채널 문제면 D05. 출력이 도구 호출이나 코드 실행으로 이어지면 D06</t>
        </is>
      </c>
      <c r="F15" s="6">
        <f>SUMPRODUCT((통합매트릭스!$A$5:$A$128=A15)/COUNTIFS(통합매트릭스!$A$5:$A$128,통합매트릭스!$A$5:$A$128,통합매트릭스!$B$5:$B$128,통합매트릭스!$B$5:$B$128))</f>
        <v/>
      </c>
      <c r="G15" s="6">
        <f>COUNTIF(통합매트릭스!$A$5:$A$128,A15)</f>
        <v/>
      </c>
      <c r="H15" s="6">
        <f>COUNTIFS(통합매트릭스!$A$5:$A$128,A15,통합매트릭스!$J$5:$J$128,"매우 높음")+COUNTIFS(통합매트릭스!$A$5:$A$128,A15,통합매트릭스!$J$5:$J$128,"높음")</f>
        <v/>
      </c>
    </row>
    <row r="16">
      <c r="A16" s="5" t="inlineStr">
        <is>
          <t>D06. 에이전트 오남용 및 통제 상실</t>
        </is>
      </c>
      <c r="B16" s="5" t="inlineStr">
        <is>
          <t>Agent Misuse &amp; Loss of Control</t>
        </is>
      </c>
      <c r="C16" s="5" t="inlineStr">
        <is>
          <t>과도한 권한을 가진 에이전트가 도구와 코드를 위험하게 실행하거나, 다중 에이전트 간 오류 전파와 이상 행동으로 조직의 통제를 상실하는 리스크</t>
        </is>
      </c>
      <c r="D16" s="5" t="inlineStr">
        <is>
          <t>에이전트 도구 권한, 계획 및 실행 루프, 코드 실행 환경, 다중 에이전트 워크플로</t>
        </is>
      </c>
      <c r="E16" s="5" t="inlineStr">
        <is>
          <t>에이전트가 무엇을 잘못 실행하는가의 문제면 D06. 누구의 신원과 권한이 악용되는가의 문제면 D07</t>
        </is>
      </c>
      <c r="F16" s="6">
        <f>SUMPRODUCT((통합매트릭스!$A$5:$A$128=A16)/COUNTIFS(통합매트릭스!$A$5:$A$128,통합매트릭스!$A$5:$A$128,통합매트릭스!$B$5:$B$128,통합매트릭스!$B$5:$B$128))</f>
        <v/>
      </c>
      <c r="G16" s="6">
        <f>COUNTIF(통합매트릭스!$A$5:$A$128,A16)</f>
        <v/>
      </c>
      <c r="H16" s="6">
        <f>COUNTIFS(통합매트릭스!$A$5:$A$128,A16,통합매트릭스!$J$5:$J$128,"매우 높음")+COUNTIFS(통합매트릭스!$A$5:$A$128,A16,통합매트릭스!$J$5:$J$128,"높음")</f>
        <v/>
      </c>
    </row>
    <row r="17">
      <c r="A17" s="5" t="inlineStr">
        <is>
          <t>D07. AI 신원 및 권한 악용</t>
        </is>
      </c>
      <c r="B17" s="5" t="inlineStr">
        <is>
          <t>AI Identity &amp; Privilege Abuse</t>
        </is>
      </c>
      <c r="C17" s="5" t="inlineStr">
        <is>
          <t>에이전트와 비인간 계정의 자격증명이 탈취되거나, 권한 위임 결함과 에이전트 간 통신 위조로 권한이 악용되는 리스크</t>
        </is>
      </c>
      <c r="D17" s="5" t="inlineStr">
        <is>
          <t>API 키와 토큰, OAuth 위임, 에이전트 신원, 에이전트 간(A2A, MCP) 메시지</t>
        </is>
      </c>
      <c r="E17" s="5" t="inlineStr">
        <is>
          <t>누구의 신원과 권한으로 행위가 이루어지는가의 문제면 D07</t>
        </is>
      </c>
      <c r="F17" s="6">
        <f>SUMPRODUCT((통합매트릭스!$A$5:$A$128=A17)/COUNTIFS(통합매트릭스!$A$5:$A$128,통합매트릭스!$A$5:$A$128,통합매트릭스!$B$5:$B$128,통합매트릭스!$B$5:$B$128))</f>
        <v/>
      </c>
      <c r="G17" s="6">
        <f>COUNTIF(통합매트릭스!$A$5:$A$128,A17)</f>
        <v/>
      </c>
      <c r="H17" s="6">
        <f>COUNTIFS(통합매트릭스!$A$5:$A$128,A17,통합매트릭스!$J$5:$J$128,"매우 높음")+COUNTIFS(통합매트릭스!$A$5:$A$128,A17,통합매트릭스!$J$5:$J$128,"높음")</f>
        <v/>
      </c>
    </row>
    <row r="18">
      <c r="A18" s="5" t="inlineStr">
        <is>
          <t>D08. AI 공급망 침해</t>
        </is>
      </c>
      <c r="B18" s="5" t="inlineStr">
        <is>
          <t>AI Supply Chain Compromise</t>
        </is>
      </c>
      <c r="C18" s="5" t="inlineStr">
        <is>
          <t>외부에서 도입하는 모델, 데이터셋, 패키지, 에이전트 도구가 오염되거나 위장되어 조직 환경에 악성 요소가 유입되는 리스크</t>
        </is>
      </c>
      <c r="D18" s="5" t="inlineStr">
        <is>
          <t>모델 허브, 패키지 레지스트리, MCP 서버, 플러그인 및 스킬 레지스트리</t>
        </is>
      </c>
      <c r="E18" s="5" t="inlineStr">
        <is>
          <t>제3자 구성요소가 유입 경로면 D08. 조직 내부 데이터 소스의 오염은 D03</t>
        </is>
      </c>
      <c r="F18" s="6">
        <f>SUMPRODUCT((통합매트릭스!$A$5:$A$128=A18)/COUNTIFS(통합매트릭스!$A$5:$A$128,통합매트릭스!$A$5:$A$128,통합매트릭스!$B$5:$B$128,통합매트릭스!$B$5:$B$128))</f>
        <v/>
      </c>
      <c r="G18" s="6">
        <f>COUNTIF(통합매트릭스!$A$5:$A$128,A18)</f>
        <v/>
      </c>
      <c r="H18" s="6">
        <f>COUNTIFS(통합매트릭스!$A$5:$A$128,A18,통합매트릭스!$J$5:$J$128,"매우 높음")+COUNTIFS(통합매트릭스!$A$5:$A$128,A18,통합매트릭스!$J$5:$J$128,"높음")</f>
        <v/>
      </c>
    </row>
    <row r="19">
      <c r="A19" s="5" t="inlineStr">
        <is>
          <t>D09. AI 인프라 노출 및 자원 고갈</t>
        </is>
      </c>
      <c r="B19" s="5" t="inlineStr">
        <is>
          <t>AI Infrastructure Exposure &amp; Resource Exhaustion</t>
        </is>
      </c>
      <c r="C19" s="5" t="inlineStr">
        <is>
          <t>AI 서비스와 인프라가 통제 밖에서 외부에 노출되거나 운영 데이터 경로로 정보가 새어 나가고, 자원 고갈로 가용성과 비용 피해가 발생하는 리스크</t>
        </is>
      </c>
      <c r="D19" s="5" t="inlineStr">
        <is>
          <t>서빙 인프라, 외부 노출 서비스, 사용자 단말의 AI 어시스턴트, 관측성 도구와 라벨링 경로</t>
        </is>
      </c>
      <c r="E19" s="5" t="inlineStr">
        <is>
          <t>인프라 구성과 운영 방식이 원인이면 D09</t>
        </is>
      </c>
      <c r="F19" s="6">
        <f>SUMPRODUCT((통합매트릭스!$A$5:$A$128=A19)/COUNTIFS(통합매트릭스!$A$5:$A$128,통합매트릭스!$A$5:$A$128,통합매트릭스!$B$5:$B$128,통합매트릭스!$B$5:$B$128))</f>
        <v/>
      </c>
      <c r="G19" s="6">
        <f>COUNTIF(통합매트릭스!$A$5:$A$128,A19)</f>
        <v/>
      </c>
      <c r="H19" s="6">
        <f>COUNTIFS(통합매트릭스!$A$5:$A$128,A19,통합매트릭스!$J$5:$J$128,"매우 높음")+COUNTIFS(통합매트릭스!$A$5:$A$128,A19,통합매트릭스!$J$5:$J$128,"높음")</f>
        <v/>
      </c>
    </row>
    <row r="20">
      <c r="A20" s="5" t="inlineStr">
        <is>
          <t>D10. 사용자 기만 및 AI 거버넌스 미흡</t>
        </is>
      </c>
      <c r="B20" s="5" t="inlineStr">
        <is>
          <t>User Deception &amp; AI Governance Gaps</t>
        </is>
      </c>
      <c r="C20" s="5" t="inlineStr">
        <is>
          <t>AI 출력을 신뢰하는 사용자가 기만되어 위험한 판단을 내리거나, 감사 체계와 데이터 수명주기 관리가 미흡하여 책임 추적과 규제 준수가 어려워지는 리스크</t>
        </is>
      </c>
      <c r="D20" s="5" t="inlineStr">
        <is>
          <t>사용자와 승인자, 감사 로그, 데이터 분류와 보존 및 폐기 체계</t>
        </is>
      </c>
      <c r="E20" s="5" t="inlineStr">
        <is>
          <t>사람의 판단 또는 관리체계의 미흡이 원인이면 D10</t>
        </is>
      </c>
      <c r="F20" s="6">
        <f>SUMPRODUCT((통합매트릭스!$A$5:$A$128=A20)/COUNTIFS(통합매트릭스!$A$5:$A$128,통합매트릭스!$A$5:$A$128,통합매트릭스!$B$5:$B$128,통합매트릭스!$B$5:$B$128))</f>
        <v/>
      </c>
      <c r="G20" s="6">
        <f>COUNTIF(통합매트릭스!$A$5:$A$128,A20)</f>
        <v/>
      </c>
      <c r="H20" s="6">
        <f>COUNTIFS(통합매트릭스!$A$5:$A$128,A20,통합매트릭스!$J$5:$J$128,"매우 높음")+COUNTIFS(통합매트릭스!$A$5:$A$128,A20,통합매트릭스!$J$5:$J$128,"높음")</f>
        <v/>
      </c>
    </row>
    <row r="22">
      <c r="A22" s="3" t="inlineStr">
        <is>
          <t>3. 위험 평가 기준 (Lv3 단위)</t>
        </is>
      </c>
    </row>
    <row r="23">
      <c r="A23" s="4" t="inlineStr">
        <is>
          <t>항목</t>
        </is>
      </c>
      <c r="B23" s="4" t="inlineStr">
        <is>
          <t>상</t>
        </is>
      </c>
      <c r="C23" s="4" t="inlineStr">
        <is>
          <t>중</t>
        </is>
      </c>
      <c r="D23" s="4" t="inlineStr">
        <is>
          <t>하</t>
        </is>
      </c>
      <c r="E23" s="4" t="inlineStr">
        <is>
          <t>산정 방식</t>
        </is>
      </c>
    </row>
    <row r="24">
      <c r="A24" s="5" t="inlineStr">
        <is>
          <t>발생가능성</t>
        </is>
      </c>
      <c r="B24" s="5" t="inlineStr">
        <is>
          <t>실제 사고 2건 이상 (ATLAS Incident 사례 + OWASP 인용 실제 사고)</t>
        </is>
      </c>
      <c r="C24" s="5" t="inlineStr">
        <is>
          <t>실제 사고 1건, 또는 실증 사례(연구·레드팀)·Realized 기법·공개 취약점/익스플로잇 존재</t>
        </is>
      </c>
      <c r="D24" s="5" t="inlineStr">
        <is>
          <t>이론적으로 가능하나 실제 사례·실증·공개 취약점 없음</t>
        </is>
      </c>
      <c r="E24" s="5" t="inlineStr">
        <is>
          <t>근거(ATLAS 사례 연결·OWASP 인용 근거·Realized 기법)에서 빌드 시 산정해 값으로 기록. 사례·근거 개정 시 재산정</t>
        </is>
      </c>
    </row>
    <row r="25">
      <c r="A25" s="5" t="inlineStr">
        <is>
          <t>심각도</t>
        </is>
      </c>
      <c r="B25" s="5" t="inlineStr">
        <is>
          <t>AI 시스템 전체 통제권 탈취 또는 중요·개인정보 대량 탈취 가능성 높음 (호스트·에이전트 장악, 연동 자격증명 탈취, 대량 반출)</t>
        </is>
      </c>
      <c r="C25" s="5" t="inlineStr">
        <is>
          <t>부분적 통제 상실 또는 제한된 범위의 정보 노출·무결성 훼손·재무 피해</t>
        </is>
      </c>
      <c r="D25" s="5" t="inlineStr">
        <is>
          <t>영향 범위 제한적, 경미한 정보 노출 또는 일시적 장애 (준비·탐색 단계 포함)</t>
        </is>
      </c>
      <c r="E25" s="5" t="inlineStr">
        <is>
          <t>분석자 평가(심각도 근거 열에 사유 기재) — 기준: 통제권 범위, 정보 노출 규모, 피해 지속성. 드롭다운으로 수정 가능</t>
        </is>
      </c>
    </row>
    <row r="26">
      <c r="A26" s="5" t="inlineStr">
        <is>
          <t>위험도</t>
        </is>
      </c>
      <c r="B26" s="5" t="inlineStr">
        <is>
          <t>매우 높음: 상×상</t>
        </is>
      </c>
      <c r="C26" s="5" t="inlineStr">
        <is>
          <t>높음: 상×중, 중×상 / 보통: 중×중, 상×하, 하×상</t>
        </is>
      </c>
      <c r="D26" s="5" t="inlineStr">
        <is>
          <t>낮음: 중×하, 하×중, 하×하</t>
        </is>
      </c>
      <c r="E26" s="5" t="inlineStr">
        <is>
          <t>발생가능성 × 심각도 3×3 매트릭스(수식, 자동 재계산)</t>
        </is>
      </c>
    </row>
    <row r="28">
      <c r="A28" s="3" t="inlineStr">
        <is>
          <t>4. 근거 수준 정의 (높은 순)</t>
        </is>
      </c>
    </row>
    <row r="29">
      <c r="A29" s="4" t="inlineStr">
        <is>
          <t>근거 수준</t>
        </is>
      </c>
      <c r="B29" s="4" t="inlineStr">
        <is>
          <t>판정 기준</t>
        </is>
      </c>
    </row>
    <row r="30">
      <c r="A30" s="5" t="inlineStr">
        <is>
          <t>실제 사고 확인</t>
        </is>
      </c>
      <c r="B30" s="5" t="inlineStr">
        <is>
          <t>ATLAS Incident 사례 또는 OWASP 원문이 인용한 실제 사고가 1건 이상 연결('실제 사고 수' ≥ 1)</t>
        </is>
      </c>
    </row>
    <row r="31">
      <c r="A31" s="5" t="inlineStr">
        <is>
          <t>실사용 기법 포함</t>
        </is>
      </c>
      <c r="B31" s="5" t="inlineStr">
        <is>
          <t>실제 사고 연결은 없으나 ATLAS Maturity 'Realized' 기법이 귀속(주·연관 기법)</t>
        </is>
      </c>
    </row>
    <row r="32">
      <c r="A32" s="5" t="inlineStr">
        <is>
          <t>실증·공개 취약점</t>
        </is>
      </c>
      <c r="B32" s="5" t="inlineStr">
        <is>
          <t>연구·레드팀 실증 사례(ATLAS Exercise) 또는 OWASP 인용 취약점·익스플로잇 존재 — CVE, 벤더가 확인·조치한 취약점, 운영 서비스·모델 대상 공개 PoC 포함</t>
        </is>
      </c>
    </row>
    <row r="33">
      <c r="A33" s="5" t="inlineStr">
        <is>
          <t>이론·시나리오</t>
        </is>
      </c>
      <c r="B33" s="5" t="inlineStr">
        <is>
          <t>공개 근거 없음(OWASP 위험 정의·시나리오 기반). '발생하지 않음'이 아니라 '공개 근거 없음'을 의미</t>
        </is>
      </c>
    </row>
    <row r="35">
      <c r="A35" s="3" t="inlineStr">
        <is>
          <t>5. 요약설명·참조 작성 규칙</t>
        </is>
      </c>
    </row>
    <row r="36">
      <c r="A36" s="4" t="inlineStr">
        <is>
          <t>항목</t>
        </is>
      </c>
      <c r="B36" s="4" t="inlineStr">
        <is>
          <t>규칙</t>
        </is>
      </c>
    </row>
    <row r="37">
      <c r="A37" s="5" t="inlineStr">
        <is>
          <t>요약설명</t>
        </is>
      </c>
      <c r="B37" s="5" t="inlineStr">
        <is>
          <t>2줄 개조식. 1줄: '공격자는 [수단·경로]로 [행위]할 수 있음' / 2줄: 피해·확산 특성 또는 탐지·방어가 어려운 이유</t>
        </is>
      </c>
    </row>
    <row r="38">
      <c r="A38" s="5" t="inlineStr">
        <is>
          <t>참조 — ■ AI 관점</t>
        </is>
      </c>
      <c r="B38" s="5" t="inlineStr">
        <is>
          <t>3~4줄. 대상·경로, 수법 변형, 연계 Lv3(UT-ID), 범위 경계를 기술하고 출처를 괄호로 표기 — 예: (ATLAS AML.T0068), (OWASP LLM01:2026 예시 #5)</t>
        </is>
      </c>
    </row>
    <row r="39">
      <c r="A39" s="5" t="inlineStr">
        <is>
          <t>참조 — ■ 실제 사례</t>
        </is>
      </c>
      <c r="B39" s="5" t="inlineStr">
        <is>
          <t>1~3줄. [실제 사고] &gt; [공개 취약점] &gt; [실증] &gt; [시나리오] 순으로 선정, '사례명(YYYY-MM): 경위·결과 (출처)' 형식. 근거가 없으면 '공개 사고 미확인 — 사유'</t>
        </is>
      </c>
    </row>
    <row r="40">
      <c r="A40" s="5" t="inlineStr">
        <is>
          <t>사례 라벨</t>
        </is>
      </c>
      <c r="B40" s="5" t="inlineStr">
        <is>
          <t>[실제 사고] 실제 발생 사고 · [공개 취약점] CVE·벤더 확인 취약점·운영 서비스 대상 PoC · [실증] 연구·레드팀 시연(ATLAS Exercise 등) · [시나리오] OWASP 공격 시나리오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8" customWidth="1" min="5" max="5"/>
    <col width="22" customWidth="1" min="6" max="6"/>
    <col width="48" customWidth="1" min="7" max="7"/>
    <col width="8" customWidth="1" min="8" max="8"/>
    <col width="28" customWidth="1" min="9" max="9"/>
    <col width="30" customWidth="1" min="10" max="10"/>
  </cols>
  <sheetData>
    <row r="1">
      <c r="A1" s="1" t="inlineStr">
        <is>
          <t>MITRE ATLAS 사례연구(73건) — 요약 및 Lv3 매핑</t>
        </is>
      </c>
    </row>
    <row r="2">
      <c r="A2" s="2" t="inlineStr">
        <is>
          <t>주 Lv3 = 분석자가 지정한 대표 세부 위협. 매핑 Lv3 = 공식 절차(employs) 기법의 주 Lv3 + 분석자 보완. 유형: Incident=실제 사고, Exercise=실증</t>
        </is>
      </c>
    </row>
    <row r="4">
      <c r="A4" s="4" t="inlineStr">
        <is>
          <t>사례 ID</t>
        </is>
      </c>
      <c r="B4" s="4" t="inlineStr">
        <is>
          <t>사례명</t>
        </is>
      </c>
      <c r="C4" s="4" t="inlineStr">
        <is>
          <t>유형</t>
        </is>
      </c>
      <c r="D4" s="4" t="inlineStr">
        <is>
          <t>발생·공개 시점</t>
        </is>
      </c>
      <c r="E4" s="4" t="inlineStr">
        <is>
          <t>행위자</t>
        </is>
      </c>
      <c r="F4" s="4" t="inlineStr">
        <is>
          <t>대상</t>
        </is>
      </c>
      <c r="G4" s="4" t="inlineStr">
        <is>
          <t>국문 요약</t>
        </is>
      </c>
      <c r="H4" s="4" t="inlineStr">
        <is>
          <t>주 Lv3</t>
        </is>
      </c>
      <c r="I4" s="4" t="inlineStr">
        <is>
          <t>매핑 Lv3 (전체)</t>
        </is>
      </c>
      <c r="J4" s="4" t="inlineStr">
        <is>
          <t>URL</t>
        </is>
      </c>
    </row>
    <row r="5">
      <c r="A5" s="5" t="inlineStr">
        <is>
          <t>AML.CS0000</t>
        </is>
      </c>
      <c r="B5" s="5" t="inlineStr">
        <is>
          <t>Evasion of Deep Learning Detector for Malware C&amp;C Traffic</t>
        </is>
      </c>
      <c r="C5" s="6" t="inlineStr">
        <is>
          <t>Exercise</t>
        </is>
      </c>
      <c r="D5" s="6" t="inlineStr">
        <is>
          <t>2020</t>
        </is>
      </c>
      <c r="E5" s="5" t="inlineStr">
        <is>
          <t>Palo Alto Networks AI Research Team</t>
        </is>
      </c>
      <c r="F5" s="5" t="inlineStr">
        <is>
          <t>Palo Alto Networks malware detection system</t>
        </is>
      </c>
      <c r="G5" s="5" t="inlineStr">
        <is>
          <t>공개 논문을 재현한 대리모델로 악성 C&amp;C 트래픽 탐지 딥러닝 모델을 회피</t>
        </is>
      </c>
      <c r="H5" s="6" t="inlineStr">
        <is>
          <t>UT-17.1</t>
        </is>
      </c>
      <c r="I5" s="5" t="inlineStr">
        <is>
          <t>UT-01.1, UT-02.2, UT-16.1, UT-17.1</t>
        </is>
      </c>
      <c r="J5" s="5" t="inlineStr">
        <is>
          <t>https://atlas.mitre.org/case-studies/AML.CS0000</t>
        </is>
      </c>
    </row>
    <row r="6">
      <c r="A6" s="5" t="inlineStr">
        <is>
          <t>AML.CS0001</t>
        </is>
      </c>
      <c r="B6" s="5" t="inlineStr">
        <is>
          <t>Botnet Domain Generation Algorithm (DGA) Detection Evasion</t>
        </is>
      </c>
      <c r="C6" s="6" t="inlineStr">
        <is>
          <t>Exercise</t>
        </is>
      </c>
      <c r="D6" s="6" t="inlineStr">
        <is>
          <t>2020</t>
        </is>
      </c>
      <c r="E6" s="5" t="inlineStr">
        <is>
          <t>Palo Alto Networks AI Research Team</t>
        </is>
      </c>
      <c r="F6" s="5" t="inlineStr">
        <is>
          <t>Palo Alto Networks ML-based DGA detection module</t>
        </is>
      </c>
      <c r="G6" s="5" t="inlineStr">
        <is>
          <t>도메인명 변형 기법으로 CNN 기반 봇넷 DGA 탐지기를 우회</t>
        </is>
      </c>
      <c r="H6" s="6" t="inlineStr">
        <is>
          <t>UT-17.1</t>
        </is>
      </c>
      <c r="I6" s="5" t="inlineStr">
        <is>
          <t>UT-01.1, UT-02.1, UT-02.2, UT-17.1</t>
        </is>
      </c>
      <c r="J6" s="5" t="inlineStr">
        <is>
          <t>https://atlas.mitre.org/case-studies/AML.CS0001</t>
        </is>
      </c>
    </row>
    <row r="7">
      <c r="A7" s="5" t="inlineStr">
        <is>
          <t>AML.CS0002</t>
        </is>
      </c>
      <c r="B7" s="5" t="inlineStr">
        <is>
          <t>VirusTotal Poisoning</t>
        </is>
      </c>
      <c r="C7" s="6" t="inlineStr">
        <is>
          <t>Incident</t>
        </is>
      </c>
      <c r="D7" s="6" t="inlineStr">
        <is>
          <t>2020</t>
        </is>
      </c>
      <c r="E7" s="5" t="inlineStr">
        <is>
          <t>Unknown</t>
        </is>
      </c>
      <c r="F7" s="5" t="inlineStr">
        <is>
          <t>VirusTotal</t>
        </is>
      </c>
      <c r="G7" s="5" t="inlineStr">
        <is>
          <t>VirusTotal에 변종 샘플을 대량 제출해 크라우드소싱 학습 데이터를 오염</t>
        </is>
      </c>
      <c r="H7" s="6" t="inlineStr">
        <is>
          <t>UT-09.1</t>
        </is>
      </c>
      <c r="I7" s="5" t="inlineStr">
        <is>
          <t>UT-02.1, UT-09.1, UT-17.1, UT-28.1</t>
        </is>
      </c>
      <c r="J7" s="5" t="inlineStr">
        <is>
          <t>https://atlas.mitre.org/case-studies/AML.CS0002</t>
        </is>
      </c>
    </row>
    <row r="8">
      <c r="A8" s="5" t="inlineStr">
        <is>
          <t>AML.CS0003</t>
        </is>
      </c>
      <c r="B8" s="5" t="inlineStr">
        <is>
          <t>Bypassing Cylance's AI Malware Detection</t>
        </is>
      </c>
      <c r="C8" s="6" t="inlineStr">
        <is>
          <t>Exercise</t>
        </is>
      </c>
      <c r="D8" s="6" t="inlineStr">
        <is>
          <t>2019-09-07</t>
        </is>
      </c>
      <c r="E8" s="5" t="inlineStr">
        <is>
          <t>Skylight Cyber</t>
        </is>
      </c>
      <c r="F8" s="5" t="inlineStr">
        <is>
          <t>CylancePROTECT, Cylance Smart Antivirus</t>
        </is>
      </c>
      <c r="G8" s="5" t="inlineStr">
        <is>
          <t>Cylance AI 악성코드 탐지기의 판단 로직을 분석해 범용 우회 문자열 생성</t>
        </is>
      </c>
      <c r="H8" s="6" t="inlineStr">
        <is>
          <t>UT-17.1</t>
        </is>
      </c>
      <c r="I8" s="5" t="inlineStr">
        <is>
          <t>UT-01.1, UT-01.3, UT-01.4, UT-02.1, UT-17.1</t>
        </is>
      </c>
      <c r="J8" s="5" t="inlineStr">
        <is>
          <t>https://atlas.mitre.org/case-studies/AML.CS0003</t>
        </is>
      </c>
    </row>
    <row r="9">
      <c r="A9" s="5" t="inlineStr">
        <is>
          <t>AML.CS0004</t>
        </is>
      </c>
      <c r="B9" s="5" t="inlineStr">
        <is>
          <t>Camera Hijack Attack on Facial Recognition System</t>
        </is>
      </c>
      <c r="C9" s="6" t="inlineStr">
        <is>
          <t>Incident</t>
        </is>
      </c>
      <c r="D9" s="6" t="inlineStr">
        <is>
          <t>2020</t>
        </is>
      </c>
      <c r="E9" s="5" t="inlineStr">
        <is>
          <t>Two individuals</t>
        </is>
      </c>
      <c r="F9" s="5" t="inlineStr">
        <is>
          <t>Shanghai government tax office's facial recognition service</t>
        </is>
      </c>
      <c r="G9" s="5" t="inlineStr">
        <is>
          <t>카메라 영상 주입으로 얼굴인식 인증을 우회해 세금 사기(실제 사고)</t>
        </is>
      </c>
      <c r="H9" s="6" t="inlineStr">
        <is>
          <t>UT-17.1</t>
        </is>
      </c>
      <c r="I9" s="5" t="inlineStr">
        <is>
          <t>UT-01.1, UT-01.3, UT-02.1, UT-02.3, UT-04.1, UT-17.1</t>
        </is>
      </c>
      <c r="J9" s="5" t="inlineStr">
        <is>
          <t>https://atlas.mitre.org/case-studies/AML.CS0004</t>
        </is>
      </c>
    </row>
    <row r="10">
      <c r="A10" s="5" t="inlineStr">
        <is>
          <t>AML.CS0005</t>
        </is>
      </c>
      <c r="B10" s="5" t="inlineStr">
        <is>
          <t>Attack on Machine Translation Services</t>
        </is>
      </c>
      <c r="C10" s="6" t="inlineStr">
        <is>
          <t>Exercise</t>
        </is>
      </c>
      <c r="D10" s="6" t="inlineStr">
        <is>
          <t>2020-04-30</t>
        </is>
      </c>
      <c r="E10" s="5" t="inlineStr">
        <is>
          <t>Berkeley Artificial Intelligence Research</t>
        </is>
      </c>
      <c r="F10" s="5" t="inlineStr">
        <is>
          <t>Google Translate, Bing Translator, Systran Translate</t>
        </is>
      </c>
      <c r="G10" s="5" t="inlineStr">
        <is>
          <t>번역 API 질의로 모델을 복제하고 적대적 예제를 원 서비스에 전이</t>
        </is>
      </c>
      <c r="H10" s="6" t="inlineStr">
        <is>
          <t>UT-16.1</t>
        </is>
      </c>
      <c r="I10" s="5" t="inlineStr">
        <is>
          <t>UT-01.1, UT-01.3, UT-02.2, UT-09.4, UT-16.1, UT-17.1</t>
        </is>
      </c>
      <c r="J10" s="5" t="inlineStr">
        <is>
          <t>https://atlas.mitre.org/case-studies/AML.CS0005</t>
        </is>
      </c>
    </row>
    <row r="11">
      <c r="A11" s="5" t="inlineStr">
        <is>
          <t>AML.CS0006</t>
        </is>
      </c>
      <c r="B11" s="5" t="inlineStr">
        <is>
          <t>ClearviewAI Misconfiguration</t>
        </is>
      </c>
      <c r="C11" s="6" t="inlineStr">
        <is>
          <t>Incident</t>
        </is>
      </c>
      <c r="D11" s="6" t="inlineStr">
        <is>
          <t>2020-04</t>
        </is>
      </c>
      <c r="E11" s="5" t="inlineStr">
        <is>
          <t>Researchers at spiderSilk</t>
        </is>
      </c>
      <c r="F11" s="5" t="inlineStr">
        <is>
          <t>Clearview AI facial recognition tool</t>
        </is>
      </c>
      <c r="G11" s="5" t="inlineStr">
        <is>
          <t>Clearview AI 저장소 설정 오류로 소스코드·자격증명·모델 노출</t>
        </is>
      </c>
      <c r="H11" s="6" t="inlineStr">
        <is>
          <t>UT-31.1</t>
        </is>
      </c>
      <c r="I11" s="5" t="inlineStr">
        <is>
          <t>UT-02.2, UT-02.3, UT-02.6, UT-09.4, UT-25.1, UT-31.1</t>
        </is>
      </c>
      <c r="J11" s="5" t="inlineStr">
        <is>
          <t>https://atlas.mitre.org/case-studies/AML.CS0006</t>
        </is>
      </c>
    </row>
    <row r="12">
      <c r="A12" s="5" t="inlineStr">
        <is>
          <t>AML.CS0007</t>
        </is>
      </c>
      <c r="B12" s="5" t="inlineStr">
        <is>
          <t>GPT-2 Model Replication</t>
        </is>
      </c>
      <c r="C12" s="6" t="inlineStr">
        <is>
          <t>Exercise</t>
        </is>
      </c>
      <c r="D12" s="6" t="inlineStr">
        <is>
          <t>2019-08-22</t>
        </is>
      </c>
      <c r="E12" s="5" t="inlineStr">
        <is>
          <t>Researchers at Brown University</t>
        </is>
      </c>
      <c r="F12" s="5" t="inlineStr">
        <is>
          <t>OpenAI GPT-2</t>
        </is>
      </c>
      <c r="G12" s="5" t="inlineStr">
        <is>
          <t>공개 정보로 GPT-2 규모 모델을 재현(모델 복제)</t>
        </is>
      </c>
      <c r="H12" s="6" t="inlineStr">
        <is>
          <t>UT-16.1</t>
        </is>
      </c>
      <c r="I12" s="5" t="inlineStr">
        <is>
          <t>UT-01.1, UT-02.2, UT-02.3, UT-16.1</t>
        </is>
      </c>
      <c r="J12" s="5" t="inlineStr">
        <is>
          <t>https://atlas.mitre.org/case-studies/AML.CS0007</t>
        </is>
      </c>
    </row>
    <row r="13">
      <c r="A13" s="5" t="inlineStr">
        <is>
          <t>AML.CS0008</t>
        </is>
      </c>
      <c r="B13" s="5" t="inlineStr">
        <is>
          <t>ProofPoint Evasion</t>
        </is>
      </c>
      <c r="C13" s="6" t="inlineStr">
        <is>
          <t>Exercise</t>
        </is>
      </c>
      <c r="D13" s="6" t="inlineStr">
        <is>
          <t>2019-09-09</t>
        </is>
      </c>
      <c r="E13" s="5" t="inlineStr">
        <is>
          <t>Researchers at Silent Break Security</t>
        </is>
      </c>
      <c r="F13" s="5" t="inlineStr">
        <is>
          <t>ProofPoint Email Protection System</t>
        </is>
      </c>
      <c r="G13" s="5" t="inlineStr">
        <is>
          <t>ProofPoint 이메일 보호 모델의 복제본을 만들어 실서비스 탐지 회피</t>
        </is>
      </c>
      <c r="H13" s="6" t="inlineStr">
        <is>
          <t>UT-17.1</t>
        </is>
      </c>
      <c r="I13" s="5" t="inlineStr">
        <is>
          <t>UT-01.3, UT-01.4, UT-16.1, UT-17.1</t>
        </is>
      </c>
      <c r="J13" s="5" t="inlineStr">
        <is>
          <t>https://atlas.mitre.org/case-studies/AML.CS0008</t>
        </is>
      </c>
    </row>
    <row r="14">
      <c r="A14" s="5" t="inlineStr">
        <is>
          <t>AML.CS0009</t>
        </is>
      </c>
      <c r="B14" s="5" t="inlineStr">
        <is>
          <t>Tay Poisoning</t>
        </is>
      </c>
      <c r="C14" s="6" t="inlineStr">
        <is>
          <t>Incident</t>
        </is>
      </c>
      <c r="D14" s="6" t="inlineStr">
        <is>
          <t>2016-03-23</t>
        </is>
      </c>
      <c r="E14" s="5" t="inlineStr">
        <is>
          <t>4chan Users</t>
        </is>
      </c>
      <c r="F14" s="5" t="inlineStr">
        <is>
          <t>Microsoft's Tay AI Chatbot</t>
        </is>
      </c>
      <c r="G14" s="5" t="inlineStr">
        <is>
          <t>Tay 챗봇이 사용자 대화로 온라인 학습되며 오염되어 혐오 발언 생성(실제 사고)</t>
        </is>
      </c>
      <c r="H14" s="6" t="inlineStr">
        <is>
          <t>UT-09.3</t>
        </is>
      </c>
      <c r="I14" s="5" t="inlineStr">
        <is>
          <t>UT-01.3, UT-09.1, UT-09.3, UT-09.4, UT-28.1</t>
        </is>
      </c>
      <c r="J14" s="5" t="inlineStr">
        <is>
          <t>https://atlas.mitre.org/case-studies/AML.CS0009</t>
        </is>
      </c>
    </row>
    <row r="15">
      <c r="A15" s="5" t="inlineStr">
        <is>
          <t>AML.CS0010</t>
        </is>
      </c>
      <c r="B15" s="5" t="inlineStr">
        <is>
          <t>Microsoft Azure Service Disruption</t>
        </is>
      </c>
      <c r="C15" s="6" t="inlineStr">
        <is>
          <t>Exercise</t>
        </is>
      </c>
      <c r="D15" s="6" t="inlineStr">
        <is>
          <t>2020</t>
        </is>
      </c>
      <c r="E15" s="5" t="inlineStr">
        <is>
          <t>Microsoft AI Red Team</t>
        </is>
      </c>
      <c r="F15" s="5" t="inlineStr">
        <is>
          <t>Internal Microsoft Azure Service</t>
        </is>
      </c>
      <c r="G15" s="5" t="inlineStr">
        <is>
          <t>레드팀이 기존 침투기법과 AI 회피를 결합해 Azure 내부 서비스 중단 시연</t>
        </is>
      </c>
      <c r="H15" s="6" t="inlineStr">
        <is>
          <t>UT-17.1</t>
        </is>
      </c>
      <c r="I15" s="5" t="inlineStr">
        <is>
          <t>UT-01.1, UT-01.3, UT-02.6, UT-16.2, UT-17.1, UT-25.4</t>
        </is>
      </c>
      <c r="J15" s="5" t="inlineStr">
        <is>
          <t>https://atlas.mitre.org/case-studies/AML.CS0010</t>
        </is>
      </c>
    </row>
    <row r="16">
      <c r="A16" s="5" t="inlineStr">
        <is>
          <t>AML.CS0011</t>
        </is>
      </c>
      <c r="B16" s="5" t="inlineStr">
        <is>
          <t>Microsoft Edge AI Evasion</t>
        </is>
      </c>
      <c r="C16" s="6" t="inlineStr">
        <is>
          <t>Exercise</t>
        </is>
      </c>
      <c r="D16" s="6" t="inlineStr">
        <is>
          <t>2020-02</t>
        </is>
      </c>
      <c r="E16" s="5" t="inlineStr">
        <is>
          <t>Azure Red Team</t>
        </is>
      </c>
      <c r="F16" s="5" t="inlineStr">
        <is>
          <t>New Microsoft AI Product</t>
        </is>
      </c>
      <c r="G16" s="5" t="inlineStr">
        <is>
          <t>엣지 AI 제품 대상 자동 이미지 변조로 오분류 유도</t>
        </is>
      </c>
      <c r="H16" s="6" t="inlineStr">
        <is>
          <t>UT-17.1</t>
        </is>
      </c>
      <c r="I16" s="5" t="inlineStr">
        <is>
          <t>UT-01.1, UT-01.3, UT-02.2, UT-17.1</t>
        </is>
      </c>
      <c r="J16" s="5" t="inlineStr">
        <is>
          <t>https://atlas.mitre.org/case-studies/AML.CS0011</t>
        </is>
      </c>
    </row>
    <row r="17">
      <c r="A17" s="5" t="inlineStr">
        <is>
          <t>AML.CS0012</t>
        </is>
      </c>
      <c r="B17" s="5" t="inlineStr">
        <is>
          <t>Face Identification System Evasion via Physical Countermeasures</t>
        </is>
      </c>
      <c r="C17" s="6" t="inlineStr">
        <is>
          <t>Exercise</t>
        </is>
      </c>
      <c r="D17" s="6" t="inlineStr">
        <is>
          <t>2020-01-01</t>
        </is>
      </c>
      <c r="E17" s="5" t="inlineStr">
        <is>
          <t>MITRE AI Red Team</t>
        </is>
      </c>
      <c r="F17" s="5" t="inlineStr">
        <is>
          <t>Commercial Face Identification Service</t>
        </is>
      </c>
      <c r="G17" s="5" t="inlineStr">
        <is>
          <t>물리적 대응물로 상용 얼굴식별 서비스에 표적 오분류 유도</t>
        </is>
      </c>
      <c r="H17" s="6" t="inlineStr">
        <is>
          <t>UT-17.1</t>
        </is>
      </c>
      <c r="I17" s="5" t="inlineStr">
        <is>
          <t>UT-01.1, UT-01.3, UT-01.4, UT-02.2, UT-02.3, UT-16.1, UT-17.1, UT-17.2, UT-25.4</t>
        </is>
      </c>
      <c r="J17" s="5" t="inlineStr">
        <is>
          <t>https://atlas.mitre.org/case-studies/AML.CS0012</t>
        </is>
      </c>
    </row>
    <row r="18">
      <c r="A18" s="5" t="inlineStr">
        <is>
          <t>AML.CS0013</t>
        </is>
      </c>
      <c r="B18" s="5" t="inlineStr">
        <is>
          <t>Backdoor Attack on Deep Learning Models in Mobile Apps</t>
        </is>
      </c>
      <c r="C18" s="6" t="inlineStr">
        <is>
          <t>Exercise</t>
        </is>
      </c>
      <c r="D18" s="6" t="inlineStr">
        <is>
          <t>2021-01-18</t>
        </is>
      </c>
      <c r="E18" s="5" t="inlineStr">
        <is>
          <t>Yuanchun Li, Jiayi Hua, Haoyu Wang, Chunyang Chen, Yunxin Liu</t>
        </is>
      </c>
      <c r="F18" s="5" t="inlineStr">
        <is>
          <t>ML-based Android Apps</t>
        </is>
      </c>
      <c r="G18" s="5" t="inlineStr">
        <is>
          <t>모바일 앱에서 추출한 딥러닝 모델에 백도어 삽입 후 재패키징</t>
        </is>
      </c>
      <c r="H18" s="6" t="inlineStr">
        <is>
          <t>UT-14.2</t>
        </is>
      </c>
      <c r="I18" s="5" t="inlineStr">
        <is>
          <t>UT-01.1, UT-01.3, UT-02.1, UT-02.2, UT-14.2, UT-14.4, UT-17.1, UT-17.2, UT-28.1</t>
        </is>
      </c>
      <c r="J18" s="5" t="inlineStr">
        <is>
          <t>https://atlas.mitre.org/case-studies/AML.CS0013</t>
        </is>
      </c>
    </row>
    <row r="19">
      <c r="A19" s="5" t="inlineStr">
        <is>
          <t>AML.CS0014</t>
        </is>
      </c>
      <c r="B19" s="5" t="inlineStr">
        <is>
          <t>Confusing Antimalware Neural Networks</t>
        </is>
      </c>
      <c r="C19" s="6" t="inlineStr">
        <is>
          <t>Exercise</t>
        </is>
      </c>
      <c r="D19" s="6" t="inlineStr">
        <is>
          <t>2021-06-23</t>
        </is>
      </c>
      <c r="E19" s="5" t="inlineStr">
        <is>
          <t>Kaspersky ML Research Team</t>
        </is>
      </c>
      <c r="F19" s="5" t="inlineStr">
        <is>
          <t>Kaspersky's Antimalware ML Model</t>
        </is>
      </c>
      <c r="G19" s="5" t="inlineStr">
        <is>
          <t>클라이언트 측 특징값 조작으로 클라우드 악성코드 탐지 신경망 교란</t>
        </is>
      </c>
      <c r="H19" s="6" t="inlineStr">
        <is>
          <t>UT-17.1</t>
        </is>
      </c>
      <c r="I19" s="5" t="inlineStr">
        <is>
          <t>UT-01.1, UT-01.3, UT-02.1, UT-02.2, UT-16.1, UT-17.1</t>
        </is>
      </c>
      <c r="J19" s="5" t="inlineStr">
        <is>
          <t>https://atlas.mitre.org/case-studies/AML.CS0014</t>
        </is>
      </c>
    </row>
    <row r="20">
      <c r="A20" s="5" t="inlineStr">
        <is>
          <t>AML.CS0015</t>
        </is>
      </c>
      <c r="B20" s="5" t="inlineStr">
        <is>
          <t>Compromised PyTorch Dependency Chain</t>
        </is>
      </c>
      <c r="C20" s="6" t="inlineStr">
        <is>
          <t>Incident</t>
        </is>
      </c>
      <c r="D20" s="6" t="inlineStr">
        <is>
          <t>2022-12-25</t>
        </is>
      </c>
      <c r="E20" s="5" t="inlineStr">
        <is>
          <t>Unknown</t>
        </is>
      </c>
      <c r="F20" s="5" t="inlineStr">
        <is>
          <t>PyTorch</t>
        </is>
      </c>
      <c r="G20" s="5" t="inlineStr">
        <is>
          <t>PyPI에 올라간 악성 torchtriton 의존성으로 PyTorch-nightly 사용자 정보 유출(실제 사고)</t>
        </is>
      </c>
      <c r="H20" s="6" t="inlineStr">
        <is>
          <t>UT-28.2</t>
        </is>
      </c>
      <c r="I20" s="5" t="inlineStr">
        <is>
          <t>UT-02.6, UT-28.2</t>
        </is>
      </c>
      <c r="J20" s="5" t="inlineStr">
        <is>
          <t>https://atlas.mitre.org/case-studies/AML.CS0015</t>
        </is>
      </c>
    </row>
    <row r="21">
      <c r="A21" s="5" t="inlineStr">
        <is>
          <t>AML.CS0016</t>
        </is>
      </c>
      <c r="B21" s="5" t="inlineStr">
        <is>
          <t>Achieving Code Execution in MathGPT via Prompt Injection</t>
        </is>
      </c>
      <c r="C21" s="6" t="inlineStr">
        <is>
          <t>Exercise</t>
        </is>
      </c>
      <c r="D21" s="6" t="inlineStr">
        <is>
          <t>2023-01-28</t>
        </is>
      </c>
      <c r="E21" s="5" t="inlineStr">
        <is>
          <t>Ludwig-Ferdinand Stumpp</t>
        </is>
      </c>
      <c r="F21" s="5" t="inlineStr">
        <is>
          <t>MathGPT (https://mathgpt.streamlit.app/)</t>
        </is>
      </c>
      <c r="G21" s="5" t="inlineStr">
        <is>
          <t>MathGPT에 프롬프트 인젝션으로 파이썬 코드 실행·API 키 노출</t>
        </is>
      </c>
      <c r="H21" s="6" t="inlineStr">
        <is>
          <t>UT-06.1</t>
        </is>
      </c>
      <c r="I21" s="5" t="inlineStr">
        <is>
          <t>UT-01.1, UT-01.3, UT-06.1, UT-07.1, UT-17.1, UT-21.4, UT-22.1, UT-25.1, UT-30.1</t>
        </is>
      </c>
      <c r="J21" s="5" t="inlineStr">
        <is>
          <t>https://atlas.mitre.org/case-studies/AML.CS0016</t>
        </is>
      </c>
    </row>
    <row r="22">
      <c r="A22" s="5" t="inlineStr">
        <is>
          <t>AML.CS0017</t>
        </is>
      </c>
      <c r="B22" s="5" t="inlineStr">
        <is>
          <t>Bypassing ID.me Identity Verification</t>
        </is>
      </c>
      <c r="C22" s="6" t="inlineStr">
        <is>
          <t>Incident</t>
        </is>
      </c>
      <c r="D22" s="6" t="inlineStr">
        <is>
          <t>2020-10</t>
        </is>
      </c>
      <c r="E22" s="5" t="inlineStr">
        <is>
          <t>One individual</t>
        </is>
      </c>
      <c r="F22" s="5" t="inlineStr">
        <is>
          <t>California Employment Development Department</t>
        </is>
      </c>
      <c r="G22" s="5" t="inlineStr">
        <is>
          <t>ID.me 자동 신원확인을 우회해 180건 이상 허위 실업급여 청구(실제 사고)</t>
        </is>
      </c>
      <c r="H22" s="6" t="inlineStr">
        <is>
          <t>UT-17.1</t>
        </is>
      </c>
      <c r="I22" s="5" t="inlineStr">
        <is>
          <t>UT-01.3, UT-04.1, UT-17.1</t>
        </is>
      </c>
      <c r="J22" s="5" t="inlineStr">
        <is>
          <t>https://atlas.mitre.org/case-studies/AML.CS0017</t>
        </is>
      </c>
    </row>
    <row r="23">
      <c r="A23" s="5" t="inlineStr">
        <is>
          <t>AML.CS0018</t>
        </is>
      </c>
      <c r="B23" s="5" t="inlineStr">
        <is>
          <t>Arbitrary Code Execution with Google Colab</t>
        </is>
      </c>
      <c r="C23" s="6" t="inlineStr">
        <is>
          <t>Exercise</t>
        </is>
      </c>
      <c r="D23" s="6" t="inlineStr">
        <is>
          <t>2022-07</t>
        </is>
      </c>
      <c r="E23" s="5" t="inlineStr">
        <is>
          <t>Tony Piazza</t>
        </is>
      </c>
      <c r="F23" s="5" t="inlineStr">
        <is>
          <t>Google Colab</t>
        </is>
      </c>
      <c r="G23" s="5" t="inlineStr">
        <is>
          <t>Google Colab 노트북을 통한 임의 코드 실행 경로 시연</t>
        </is>
      </c>
      <c r="H23" s="6" t="inlineStr">
        <is>
          <t>UT-22.2</t>
        </is>
      </c>
      <c r="I23" s="5" t="inlineStr">
        <is>
          <t>UT-02.1, UT-02.6, UT-16.2, UT-22.2, UT-25.4, UT-28.2</t>
        </is>
      </c>
      <c r="J23" s="5" t="inlineStr">
        <is>
          <t>https://atlas.mitre.org/case-studies/AML.CS0018</t>
        </is>
      </c>
    </row>
    <row r="24">
      <c r="A24" s="5" t="inlineStr">
        <is>
          <t>AML.CS0019</t>
        </is>
      </c>
      <c r="B24" s="5" t="inlineStr">
        <is>
          <t>PoisonGPT</t>
        </is>
      </c>
      <c r="C24" s="6" t="inlineStr">
        <is>
          <t>Exercise</t>
        </is>
      </c>
      <c r="D24" s="6" t="inlineStr">
        <is>
          <t>2023-07</t>
        </is>
      </c>
      <c r="E24" s="5" t="inlineStr">
        <is>
          <t>Mithril Security Researchers</t>
        </is>
      </c>
      <c r="F24" s="5" t="inlineStr">
        <is>
          <t>HuggingFace Users</t>
        </is>
      </c>
      <c r="G24" s="5" t="inlineStr">
        <is>
          <t>LLM 가중치를 편집해 허위 사실을 답하게 만든 뒤 Hugging Face에 배포(PoisonGPT)</t>
        </is>
      </c>
      <c r="H24" s="6" t="inlineStr">
        <is>
          <t>UT-14.1</t>
        </is>
      </c>
      <c r="I24" s="5" t="inlineStr">
        <is>
          <t>UT-02.2, UT-09.4, UT-14.1, UT-17.1, UT-20.3, UT-28.1</t>
        </is>
      </c>
      <c r="J24" s="5" t="inlineStr">
        <is>
          <t>https://atlas.mitre.org/case-studies/AML.CS0019</t>
        </is>
      </c>
    </row>
    <row r="25">
      <c r="A25" s="5" t="inlineStr">
        <is>
          <t>AML.CS0020</t>
        </is>
      </c>
      <c r="B25" s="5" t="inlineStr">
        <is>
          <t>Indirect Prompt Injection Threats: Bing Chat Data Pirate</t>
        </is>
      </c>
      <c r="C25" s="6" t="inlineStr">
        <is>
          <t>Exercise</t>
        </is>
      </c>
      <c r="D25" s="6" t="inlineStr">
        <is>
          <t>2023</t>
        </is>
      </c>
      <c r="E25" s="5" t="inlineStr">
        <is>
          <t>Kai Greshake, Saarland University</t>
        </is>
      </c>
      <c r="F25" s="5" t="inlineStr">
        <is>
          <t>Microsoft Bing Chat</t>
        </is>
      </c>
      <c r="G25" s="5" t="inlineStr">
        <is>
          <t>웹페이지 숨은 지시로 Bing Chat이 사용자 개인정보를 캐내는 사회공학 수행</t>
        </is>
      </c>
      <c r="H25" s="6" t="inlineStr">
        <is>
          <t>UT-07.1</t>
        </is>
      </c>
      <c r="I25" s="5" t="inlineStr">
        <is>
          <t>UT-02.1, UT-04.2, UT-06.3, UT-07.1, UT-34.2</t>
        </is>
      </c>
      <c r="J25" s="5" t="inlineStr">
        <is>
          <t>https://atlas.mitre.org/case-studies/AML.CS0020</t>
        </is>
      </c>
    </row>
    <row r="26">
      <c r="A26" s="5" t="inlineStr">
        <is>
          <t>AML.CS0021</t>
        </is>
      </c>
      <c r="B26" s="5" t="inlineStr">
        <is>
          <t>ChatGPT Conversation Exfiltration</t>
        </is>
      </c>
      <c r="C26" s="6" t="inlineStr">
        <is>
          <t>Exercise</t>
        </is>
      </c>
      <c r="D26" s="6" t="inlineStr">
        <is>
          <t>2023-05</t>
        </is>
      </c>
      <c r="E26" s="5" t="inlineStr">
        <is>
          <t>Embrace The Red</t>
        </is>
      </c>
      <c r="F26" s="5" t="inlineStr">
        <is>
          <t>OpenAI ChatGPT</t>
        </is>
      </c>
      <c r="G26" s="5" t="inlineStr">
        <is>
          <t>웹페이지 간접 인젝션으로 ChatGPT 대화 내용을 이미지 URL로 유출</t>
        </is>
      </c>
      <c r="H26" s="6" t="inlineStr">
        <is>
          <t>UT-07.1</t>
        </is>
      </c>
      <c r="I26" s="5" t="inlineStr">
        <is>
          <t>UT-02.3, UT-02.4, UT-06.1, UT-07.1, UT-18.1, UT-19.1, UT-21.4</t>
        </is>
      </c>
      <c r="J26" s="5" t="inlineStr">
        <is>
          <t>https://atlas.mitre.org/case-studies/AML.CS0021</t>
        </is>
      </c>
    </row>
    <row r="27">
      <c r="A27" s="5" t="inlineStr">
        <is>
          <t>AML.CS0022</t>
        </is>
      </c>
      <c r="B27" s="5" t="inlineStr">
        <is>
          <t>ChatGPT Package Hallucination</t>
        </is>
      </c>
      <c r="C27" s="6" t="inlineStr">
        <is>
          <t>Exercise</t>
        </is>
      </c>
      <c r="D27" s="6" t="inlineStr">
        <is>
          <t>2024-06</t>
        </is>
      </c>
      <c r="E27" s="5" t="inlineStr">
        <is>
          <t>Vulcan Cyber, Lasso Security</t>
        </is>
      </c>
      <c r="F27" s="5" t="inlineStr">
        <is>
          <t>ChatGPT users</t>
        </is>
      </c>
      <c r="G27" s="5" t="inlineStr">
        <is>
          <t>LLM이 환각한 가짜 패키지명을 공격자가 선점해 악성 패키지 배포 가능성 입증</t>
        </is>
      </c>
      <c r="H27" s="6" t="inlineStr">
        <is>
          <t>UT-28.2</t>
        </is>
      </c>
      <c r="I27" s="5" t="inlineStr">
        <is>
          <t>UT-01.3, UT-28.2, UT-28.3</t>
        </is>
      </c>
      <c r="J27" s="5" t="inlineStr">
        <is>
          <t>https://atlas.mitre.org/case-studies/AML.CS0022</t>
        </is>
      </c>
    </row>
    <row r="28">
      <c r="A28" s="5" t="inlineStr">
        <is>
          <t>AML.CS0023</t>
        </is>
      </c>
      <c r="B28" s="5" t="inlineStr">
        <is>
          <t>ShadowRay: Hijacking Exposed Ray Clusters</t>
        </is>
      </c>
      <c r="C28" s="6" t="inlineStr">
        <is>
          <t>Incident</t>
        </is>
      </c>
      <c r="D28" s="6" t="inlineStr">
        <is>
          <t>2023-09-05</t>
        </is>
      </c>
      <c r="E28" s="5" t="inlineStr">
        <is>
          <t>Unknown</t>
        </is>
      </c>
      <c r="F28" s="5" t="inlineStr">
        <is>
          <t>Exposed Ray Clusters</t>
        </is>
      </c>
      <c r="G28" s="5" t="inlineStr">
        <is>
          <t>인증 없는 Ray 클러스터를 탈취해 연산자원·자격증명·모델 탈취(ShadowRay, 실제 사고)</t>
        </is>
      </c>
      <c r="H28" s="6" t="inlineStr">
        <is>
          <t>UT-31.1</t>
        </is>
      </c>
      <c r="I28" s="5" t="inlineStr">
        <is>
          <t>UT-01.2, UT-02.4, UT-02.6, UT-16.2, UT-22.1, UT-25.1, UT-28.1, UT-31.1</t>
        </is>
      </c>
      <c r="J28" s="5" t="inlineStr">
        <is>
          <t>https://atlas.mitre.org/case-studies/AML.CS0023</t>
        </is>
      </c>
    </row>
    <row r="29">
      <c r="A29" s="5" t="inlineStr">
        <is>
          <t>AML.CS0024</t>
        </is>
      </c>
      <c r="B29" s="5" t="inlineStr">
        <is>
          <t>Morris II Worm: RAG-Based Attack</t>
        </is>
      </c>
      <c r="C29" s="6" t="inlineStr">
        <is>
          <t>Exercise</t>
        </is>
      </c>
      <c r="D29" s="6" t="inlineStr">
        <is>
          <t>2024-03-05</t>
        </is>
      </c>
      <c r="E29" s="5" t="inlineStr">
        <is>
          <t>Stav Cohen, Ron Bitton, Ben Nassi</t>
        </is>
      </c>
      <c r="F29" s="5" t="inlineStr">
        <is>
          <t>RAG-based e-mail assistant</t>
        </is>
      </c>
      <c r="G29" s="5" t="inlineStr">
        <is>
          <t>RAG를 매개로 자기복제 프롬프트가 GenAI 이메일 비서 간 전파(Morris II 웜)</t>
        </is>
      </c>
      <c r="H29" s="6" t="inlineStr">
        <is>
          <t>UT-23.2</t>
        </is>
      </c>
      <c r="I29" s="5" t="inlineStr">
        <is>
          <t>UT-01.3, UT-06.1, UT-07.2, UT-10.1, UT-12.1, UT-21.4, UT-23.2</t>
        </is>
      </c>
      <c r="J29" s="5" t="inlineStr">
        <is>
          <t>https://atlas.mitre.org/case-studies/AML.CS0024</t>
        </is>
      </c>
    </row>
    <row r="30">
      <c r="A30" s="5" t="inlineStr">
        <is>
          <t>AML.CS0025</t>
        </is>
      </c>
      <c r="B30" s="5" t="inlineStr">
        <is>
          <t>Web-Scale Data Poisoning: Split-View Attack</t>
        </is>
      </c>
      <c r="C30" s="6" t="inlineStr">
        <is>
          <t>Exercise</t>
        </is>
      </c>
      <c r="D30" s="6" t="inlineStr">
        <is>
          <t>2024-06-06</t>
        </is>
      </c>
      <c r="E30" s="5" t="inlineStr">
        <is>
          <t>Researchers from Google Deepmind, ETH Zurich, NVIDIA, Robust Intelligence, and Google</t>
        </is>
      </c>
      <c r="F30" s="5" t="inlineStr">
        <is>
          <t>10 web-scale datasets</t>
        </is>
      </c>
      <c r="G30" s="5" t="inlineStr">
        <is>
          <t>URL 목록형 대규모 데이터셋의 만료 도메인을 매입해 학습 데이터 오염(Split-View)</t>
        </is>
      </c>
      <c r="H30" s="6" t="inlineStr">
        <is>
          <t>UT-09.4</t>
        </is>
      </c>
      <c r="I30" s="5" t="inlineStr">
        <is>
          <t>UT-02.2, UT-02.3, UT-09.1, UT-09.4, UT-28.1, UT-28.4</t>
        </is>
      </c>
      <c r="J30" s="5" t="inlineStr">
        <is>
          <t>https://atlas.mitre.org/case-studies/AML.CS0025</t>
        </is>
      </c>
    </row>
    <row r="31">
      <c r="A31" s="5" t="inlineStr">
        <is>
          <t>AML.CS0026</t>
        </is>
      </c>
      <c r="B31" s="5" t="inlineStr">
        <is>
          <t>Financial Transaction Hijacking with M365 Copilot as an Insider</t>
        </is>
      </c>
      <c r="C31" s="6" t="inlineStr">
        <is>
          <t>Exercise</t>
        </is>
      </c>
      <c r="D31" s="6" t="inlineStr">
        <is>
          <t>2024-08-08</t>
        </is>
      </c>
      <c r="E31" s="5" t="inlineStr">
        <is>
          <t>Zenity</t>
        </is>
      </c>
      <c r="F31" s="5" t="inlineStr">
        <is>
          <t>Microsoft 365 Copilot</t>
        </is>
      </c>
      <c r="G31" s="5" t="inlineStr">
        <is>
          <t>메일을 RAG로 수집하는 M365 Copilot을 조작해 송금 계좌 정보를 바꿔치기</t>
        </is>
      </c>
      <c r="H31" s="6" t="inlineStr">
        <is>
          <t>UT-10.1</t>
        </is>
      </c>
      <c r="I31" s="5" t="inlineStr">
        <is>
          <t>UT-01.3, UT-06.1, UT-06.3, UT-07.1, UT-08.1, UT-10.1, UT-20.3, UT-21.4, UT-34.1</t>
        </is>
      </c>
      <c r="J31" s="5" t="inlineStr">
        <is>
          <t>https://atlas.mitre.org/case-studies/AML.CS0026</t>
        </is>
      </c>
    </row>
    <row r="32">
      <c r="A32" s="5" t="inlineStr">
        <is>
          <t>AML.CS0027</t>
        </is>
      </c>
      <c r="B32" s="5" t="inlineStr">
        <is>
          <t>Organization Confusion on Hugging Face</t>
        </is>
      </c>
      <c r="C32" s="6" t="inlineStr">
        <is>
          <t>Exercise</t>
        </is>
      </c>
      <c r="D32" s="6" t="inlineStr">
        <is>
          <t>2023-08-23</t>
        </is>
      </c>
      <c r="E32" s="5" t="inlineStr">
        <is>
          <t>threlfall_hax</t>
        </is>
      </c>
      <c r="F32" s="5" t="inlineStr">
        <is>
          <t>Hugging Face users</t>
        </is>
      </c>
      <c r="G32" s="5" t="inlineStr">
        <is>
          <t>실존 기업을 사칭한 Hugging Face 조직 계정으로 악성 모델 유포</t>
        </is>
      </c>
      <c r="H32" s="6" t="inlineStr">
        <is>
          <t>UT-28.1</t>
        </is>
      </c>
      <c r="I32" s="5" t="inlineStr">
        <is>
          <t>UT-01.3, UT-01.4, UT-02.1, UT-02.3, UT-02.6, UT-04.3, UT-14.1, UT-14.2, UT-25.1, UT-28.1, UT-28.4</t>
        </is>
      </c>
      <c r="J32" s="5" t="inlineStr">
        <is>
          <t>https://atlas.mitre.org/case-studies/AML.CS0027</t>
        </is>
      </c>
    </row>
    <row r="33">
      <c r="A33" s="5" t="inlineStr">
        <is>
          <t>AML.CS0028</t>
        </is>
      </c>
      <c r="B33" s="5" t="inlineStr">
        <is>
          <t>AI Model Tampering via Supply Chain Attack</t>
        </is>
      </c>
      <c r="C33" s="6" t="inlineStr">
        <is>
          <t>Exercise</t>
        </is>
      </c>
      <c r="D33" s="6" t="inlineStr">
        <is>
          <t>2023-09-26</t>
        </is>
      </c>
      <c r="E33" s="5" t="inlineStr">
        <is>
          <t>Trend Micro Nebula Cloud Research Team</t>
        </is>
      </c>
      <c r="F33" s="5" t="inlineStr">
        <is>
          <t>Private Container Registries</t>
        </is>
      </c>
      <c r="G33" s="5" t="inlineStr">
        <is>
          <t>노출된 사설 컨테이너 레지스트리 8천여 개 발견, 모델 이미지 변조 가능성 입증</t>
        </is>
      </c>
      <c r="H33" s="6" t="inlineStr">
        <is>
          <t>UT-28.5</t>
        </is>
      </c>
      <c r="I33" s="5" t="inlineStr">
        <is>
          <t>UT-01.1, UT-01.3, UT-01.4, UT-02.4, UT-14.1, UT-14.2, UT-17.1, UT-28.5, UT-31.1</t>
        </is>
      </c>
      <c r="J33" s="5" t="inlineStr">
        <is>
          <t>https://atlas.mitre.org/case-studies/AML.CS0028</t>
        </is>
      </c>
    </row>
    <row r="34">
      <c r="A34" s="5" t="inlineStr">
        <is>
          <t>AML.CS0029</t>
        </is>
      </c>
      <c r="B34" s="5" t="inlineStr">
        <is>
          <t>Google Bard Conversation Exfiltration</t>
        </is>
      </c>
      <c r="C34" s="6" t="inlineStr">
        <is>
          <t>Exercise</t>
        </is>
      </c>
      <c r="D34" s="6" t="inlineStr">
        <is>
          <t>2023-11-23</t>
        </is>
      </c>
      <c r="E34" s="5" t="inlineStr">
        <is>
          <t>Embrace the Red</t>
        </is>
      </c>
      <c r="F34" s="5" t="inlineStr">
        <is>
          <t>Google Bard</t>
        </is>
      </c>
      <c r="G34" s="5" t="inlineStr">
        <is>
          <t>공유 Google 문서의 간접 인젝션으로 Bard 대화 내용 유출</t>
        </is>
      </c>
      <c r="H34" s="6" t="inlineStr">
        <is>
          <t>UT-07.1</t>
        </is>
      </c>
      <c r="I34" s="5" t="inlineStr">
        <is>
          <t>UT-02.1, UT-02.3, UT-06.1, UT-07.1, UT-18.1, UT-19.1</t>
        </is>
      </c>
      <c r="J34" s="5" t="inlineStr">
        <is>
          <t>https://atlas.mitre.org/case-studies/AML.CS0029</t>
        </is>
      </c>
    </row>
    <row r="35">
      <c r="A35" s="5" t="inlineStr">
        <is>
          <t>AML.CS0030</t>
        </is>
      </c>
      <c r="B35" s="5" t="inlineStr">
        <is>
          <t>LLM Jacking</t>
        </is>
      </c>
      <c r="C35" s="6" t="inlineStr">
        <is>
          <t>Incident</t>
        </is>
      </c>
      <c r="D35" s="6" t="inlineStr">
        <is>
          <t>2024-05-06</t>
        </is>
      </c>
      <c r="E35" s="5" t="inlineStr">
        <is>
          <t>Unknown</t>
        </is>
      </c>
      <c r="F35" s="5" t="inlineStr">
        <is>
          <t>Cloud-Based LLM Services</t>
        </is>
      </c>
      <c r="G35" s="5" t="inlineStr">
        <is>
          <t>탈취한 클라우드 자격증명으로 LLM 서비스를 무단 사용·재판매(LLMjacking, 실제 사고)</t>
        </is>
      </c>
      <c r="H35" s="6" t="inlineStr">
        <is>
          <t>UT-25.4</t>
        </is>
      </c>
      <c r="I35" s="5" t="inlineStr">
        <is>
          <t>UT-01.4, UT-02.1, UT-02.4, UT-25.1, UT-25.4, UT-30.2</t>
        </is>
      </c>
      <c r="J35" s="5" t="inlineStr">
        <is>
          <t>https://atlas.mitre.org/case-studies/AML.CS0030</t>
        </is>
      </c>
    </row>
    <row r="36">
      <c r="A36" s="5" t="inlineStr">
        <is>
          <t>AML.CS0031</t>
        </is>
      </c>
      <c r="B36" s="5" t="inlineStr">
        <is>
          <t>Malicious Models on Hugging Face</t>
        </is>
      </c>
      <c r="C36" s="6" t="inlineStr">
        <is>
          <t>Incident</t>
        </is>
      </c>
      <c r="D36" s="6" t="inlineStr">
        <is>
          <t>2025</t>
        </is>
      </c>
      <c r="E36" s="5" t="inlineStr">
        <is>
          <t>Unknown</t>
        </is>
      </c>
      <c r="F36" s="5" t="inlineStr">
        <is>
          <t>Hugging Face users</t>
        </is>
      </c>
      <c r="G36" s="5" t="inlineStr">
        <is>
          <t>Hugging Face에 역쉘을 내장한 악성 모델 호스팅(실제 사고)</t>
        </is>
      </c>
      <c r="H36" s="6" t="inlineStr">
        <is>
          <t>UT-28.1</t>
        </is>
      </c>
      <c r="I36" s="5" t="inlineStr">
        <is>
          <t>UT-02.6, UT-14.2, UT-22.2, UT-28.1</t>
        </is>
      </c>
      <c r="J36" s="5" t="inlineStr">
        <is>
          <t>https://atlas.mitre.org/case-studies/AML.CS0031</t>
        </is>
      </c>
    </row>
    <row r="37">
      <c r="A37" s="5" t="inlineStr">
        <is>
          <t>AML.CS0032</t>
        </is>
      </c>
      <c r="B37" s="5" t="inlineStr">
        <is>
          <t>Attempted Evasion of ML Phishing Webpage Detection System</t>
        </is>
      </c>
      <c r="C37" s="6" t="inlineStr">
        <is>
          <t>Incident</t>
        </is>
      </c>
      <c r="D37" s="6" t="inlineStr">
        <is>
          <t>2022-12</t>
        </is>
      </c>
      <c r="E37" s="5" t="inlineStr">
        <is>
          <t>Unknown</t>
        </is>
      </c>
      <c r="F37" s="5" t="inlineStr">
        <is>
          <t>Commercial ML Phishing Webpage Detector</t>
        </is>
      </c>
      <c r="G37" s="5" t="inlineStr">
        <is>
          <t>피싱 사이트가 ML 기반 피싱 탐지기를 회피하도록 시각 요소 변형(실제 사고)</t>
        </is>
      </c>
      <c r="H37" s="6" t="inlineStr">
        <is>
          <t>UT-17.1</t>
        </is>
      </c>
      <c r="I37" s="5" t="inlineStr">
        <is>
          <t>UT-04.2, UT-17.1</t>
        </is>
      </c>
      <c r="J37" s="5" t="inlineStr">
        <is>
          <t>https://atlas.mitre.org/case-studies/AML.CS0032</t>
        </is>
      </c>
    </row>
    <row r="38">
      <c r="A38" s="5" t="inlineStr">
        <is>
          <t>AML.CS0033</t>
        </is>
      </c>
      <c r="B38" s="5" t="inlineStr">
        <is>
          <t>Live Deepfake Image Injection to Evade Mobile KYC Verification</t>
        </is>
      </c>
      <c r="C38" s="6" t="inlineStr">
        <is>
          <t>Exercise</t>
        </is>
      </c>
      <c r="D38" s="6" t="inlineStr">
        <is>
          <t>2024</t>
        </is>
      </c>
      <c r="E38" s="5" t="inlineStr">
        <is>
          <t>iProov Red Team</t>
        </is>
      </c>
      <c r="F38" s="5" t="inlineStr">
        <is>
          <t>Mobile facial authentication service</t>
        </is>
      </c>
      <c r="G38" s="5" t="inlineStr">
        <is>
          <t>실시간 딥페이크 영상 주입으로 모바일 KYC 얼굴인증 우회</t>
        </is>
      </c>
      <c r="H38" s="6" t="inlineStr">
        <is>
          <t>UT-04.1</t>
        </is>
      </c>
      <c r="I38" s="5" t="inlineStr">
        <is>
          <t>UT-01.1, UT-01.3, UT-02.1, UT-02.3, UT-04.1, UT-04.3, UT-17.1</t>
        </is>
      </c>
      <c r="J38" s="5" t="inlineStr">
        <is>
          <t>https://atlas.mitre.org/case-studies/AML.CS0033</t>
        </is>
      </c>
    </row>
    <row r="39">
      <c r="A39" s="5" t="inlineStr">
        <is>
          <t>AML.CS0034</t>
        </is>
      </c>
      <c r="B39" s="5" t="inlineStr">
        <is>
          <t>ProKYC: Deepfake Tool for Account Fraud Attacks</t>
        </is>
      </c>
      <c r="C39" s="6" t="inlineStr">
        <is>
          <t>Incident</t>
        </is>
      </c>
      <c r="D39" s="6" t="inlineStr">
        <is>
          <t>2024-10-09</t>
        </is>
      </c>
      <c r="E39" s="5" t="inlineStr">
        <is>
          <t>ProKYC, cybercriminal group</t>
        </is>
      </c>
      <c r="F39" s="5" t="inlineStr">
        <is>
          <t>KYC verification services</t>
        </is>
      </c>
      <c r="G39" s="5" t="inlineStr">
        <is>
          <t>KYC 우회용 딥페이크 도구 ProKYC가 범죄자에게 판매(실제 사고)</t>
        </is>
      </c>
      <c r="H39" s="6" t="inlineStr">
        <is>
          <t>UT-04.1</t>
        </is>
      </c>
      <c r="I39" s="5" t="inlineStr">
        <is>
          <t>UT-01.1, UT-01.3, UT-02.1, UT-02.3, UT-04.1, UT-04.3, UT-17.1</t>
        </is>
      </c>
      <c r="J39" s="5" t="inlineStr">
        <is>
          <t>https://atlas.mitre.org/case-studies/AML.CS0034</t>
        </is>
      </c>
    </row>
    <row r="40">
      <c r="A40" s="5" t="inlineStr">
        <is>
          <t>AML.CS0035</t>
        </is>
      </c>
      <c r="B40" s="5" t="inlineStr">
        <is>
          <t>Data Exfiltration from Slack AI via Indirect Prompt Injection</t>
        </is>
      </c>
      <c r="C40" s="6" t="inlineStr">
        <is>
          <t>Exercise</t>
        </is>
      </c>
      <c r="D40" s="6" t="inlineStr">
        <is>
          <t>2024-08-20</t>
        </is>
      </c>
      <c r="E40" s="5" t="inlineStr">
        <is>
          <t>PromptArmor</t>
        </is>
      </c>
      <c r="F40" s="5" t="inlineStr">
        <is>
          <t>Slack AI</t>
        </is>
      </c>
      <c r="G40" s="5" t="inlineStr">
        <is>
          <t>공개 채널 게시글의 간접 인젝션으로 Slack AI가 비공개 채널 데이터 유출</t>
        </is>
      </c>
      <c r="H40" s="6" t="inlineStr">
        <is>
          <t>UT-07.1</t>
        </is>
      </c>
      <c r="I40" s="5" t="inlineStr">
        <is>
          <t>UT-01.3, UT-06.1, UT-07.1, UT-10.1, UT-12.2, UT-18.1, UT-19.1, UT-25.1, UT-25.4</t>
        </is>
      </c>
      <c r="J40" s="5" t="inlineStr">
        <is>
          <t>https://atlas.mitre.org/case-studies/AML.CS0035</t>
        </is>
      </c>
    </row>
    <row r="41">
      <c r="A41" s="5" t="inlineStr">
        <is>
          <t>AML.CS0036</t>
        </is>
      </c>
      <c r="B41" s="5" t="inlineStr">
        <is>
          <t>AIKatz: Attacking LLM Desktop Applications</t>
        </is>
      </c>
      <c r="C41" s="6" t="inlineStr">
        <is>
          <t>Exercise</t>
        </is>
      </c>
      <c r="D41" s="6" t="inlineStr">
        <is>
          <t>2025</t>
        </is>
      </c>
      <c r="E41" s="5" t="inlineStr">
        <is>
          <t>Lumia Security</t>
        </is>
      </c>
      <c r="F41" s="5" t="inlineStr">
        <is>
          <t>LLM Desktop Applications (Claude, ChatGPT, Copilot)</t>
        </is>
      </c>
      <c r="G41" s="5" t="inlineStr">
        <is>
          <t>LLM 데스크톱 앱 메모리에서 인증 토큰을 추출해 사용자 가장(AIKatz)</t>
        </is>
      </c>
      <c r="H41" s="6" t="inlineStr">
        <is>
          <t>UT-25.4</t>
        </is>
      </c>
      <c r="I41" s="5" t="inlineStr">
        <is>
          <t>UT-01.3, UT-01.4, UT-06.1, UT-11.1, UT-11.2, UT-11.3, UT-25.3, UT-25.4, UT-30.1, UT-32.2</t>
        </is>
      </c>
      <c r="J41" s="5" t="inlineStr">
        <is>
          <t>https://atlas.mitre.org/case-studies/AML.CS0036</t>
        </is>
      </c>
    </row>
    <row r="42">
      <c r="A42" s="5" t="inlineStr">
        <is>
          <t>AML.CS0037</t>
        </is>
      </c>
      <c r="B42" s="5" t="inlineStr">
        <is>
          <t>Data Exfiltration via Agent Tools in Copilot Studio</t>
        </is>
      </c>
      <c r="C42" s="6" t="inlineStr">
        <is>
          <t>Exercise</t>
        </is>
      </c>
      <c r="D42" s="6" t="inlineStr">
        <is>
          <t>2025-06</t>
        </is>
      </c>
      <c r="E42" s="5" t="inlineStr">
        <is>
          <t>Zenity</t>
        </is>
      </c>
      <c r="F42" s="5" t="inlineStr">
        <is>
          <t>Copilot Studio Customer Service Agent</t>
        </is>
      </c>
      <c r="G42" s="5" t="inlineStr">
        <is>
          <t>Copilot Studio 고객지원 에이전트를 인젝션해 지식원·도구를 탐색하고 CRM 데이터 유출</t>
        </is>
      </c>
      <c r="H42" s="6" t="inlineStr">
        <is>
          <t>UT-07.1</t>
        </is>
      </c>
      <c r="I42" s="5" t="inlineStr">
        <is>
          <t>UT-01.2, UT-01.3, UT-06.1, UT-07.1, UT-07.2, UT-08.2, UT-12.2, UT-19.2, UT-21.2</t>
        </is>
      </c>
      <c r="J42" s="5" t="inlineStr">
        <is>
          <t>https://atlas.mitre.org/case-studies/AML.CS0037</t>
        </is>
      </c>
    </row>
    <row r="43">
      <c r="A43" s="5" t="inlineStr">
        <is>
          <t>AML.CS0038</t>
        </is>
      </c>
      <c r="B43" s="5" t="inlineStr">
        <is>
          <t>Planting Instructions for Delayed Automatic AI Agent Tool Invocation</t>
        </is>
      </c>
      <c r="C43" s="6" t="inlineStr">
        <is>
          <t>Exercise</t>
        </is>
      </c>
      <c r="D43" s="6" t="inlineStr">
        <is>
          <t>2024-02</t>
        </is>
      </c>
      <c r="E43" s="5" t="inlineStr">
        <is>
          <t>Embrace the Red</t>
        </is>
      </c>
      <c r="F43" s="5" t="inlineStr">
        <is>
          <t>Google Gemini</t>
        </is>
      </c>
      <c r="G43" s="5" t="inlineStr">
        <is>
          <t>지시 실행을 다음 대화 턴으로 지연시켜 Gemini의 도구 호출 제한 우회</t>
        </is>
      </c>
      <c r="H43" s="6" t="inlineStr">
        <is>
          <t>UT-07.1</t>
        </is>
      </c>
      <c r="I43" s="5" t="inlineStr">
        <is>
          <t>UT-06.1, UT-07.1, UT-07.2, UT-12.2, UT-21.4</t>
        </is>
      </c>
      <c r="J43" s="5" t="inlineStr">
        <is>
          <t>https://atlas.mitre.org/case-studies/AML.CS0038</t>
        </is>
      </c>
    </row>
    <row r="44">
      <c r="A44" s="5" t="inlineStr">
        <is>
          <t>AML.CS0039</t>
        </is>
      </c>
      <c r="B44" s="5" t="inlineStr">
        <is>
          <t>Living Off AI: Prompt Injection via Jira Service Management</t>
        </is>
      </c>
      <c r="C44" s="6" t="inlineStr">
        <is>
          <t>Exercise</t>
        </is>
      </c>
      <c r="D44" s="6" t="inlineStr">
        <is>
          <t>2025-06-19</t>
        </is>
      </c>
      <c r="E44" s="5" t="inlineStr">
        <is>
          <t>Cato CTRL</t>
        </is>
      </c>
      <c r="F44" s="5" t="inlineStr">
        <is>
          <t>Atlassian MCP, Jira Service Management</t>
        </is>
      </c>
      <c r="G44" s="5" t="inlineStr">
        <is>
          <t>외부 사용자가 Jira 티켓에 악성 입력을 넣어 AI가 내부자 권한으로 행위(Living off AI)</t>
        </is>
      </c>
      <c r="H44" s="6" t="inlineStr">
        <is>
          <t>UT-07.1</t>
        </is>
      </c>
      <c r="I44" s="5" t="inlineStr">
        <is>
          <t>UT-01.1, UT-06.1, UT-07.1, UT-12.2, UT-19.2, UT-21.4, UT-26.1</t>
        </is>
      </c>
      <c r="J44" s="5" t="inlineStr">
        <is>
          <t>https://atlas.mitre.org/case-studies/AML.CS0039</t>
        </is>
      </c>
    </row>
    <row r="45">
      <c r="A45" s="5" t="inlineStr">
        <is>
          <t>AML.CS0040</t>
        </is>
      </c>
      <c r="B45" s="5" t="inlineStr">
        <is>
          <t>Hacking ChatGPT's Memories with Prompt Injection</t>
        </is>
      </c>
      <c r="C45" s="6" t="inlineStr">
        <is>
          <t>Exercise</t>
        </is>
      </c>
      <c r="D45" s="6" t="inlineStr">
        <is>
          <t>2024-02</t>
        </is>
      </c>
      <c r="E45" s="5" t="inlineStr">
        <is>
          <t>Embrace the Red</t>
        </is>
      </c>
      <c r="F45" s="5" t="inlineStr">
        <is>
          <t>OpenAI ChatGPT</t>
        </is>
      </c>
      <c r="G45" s="5" t="inlineStr">
        <is>
          <t>공유 문서의 인젝션으로 ChatGPT 장기 메모리에 허위 정보를 영구 기록</t>
        </is>
      </c>
      <c r="H45" s="6" t="inlineStr">
        <is>
          <t>UT-11.1</t>
        </is>
      </c>
      <c r="I45" s="5" t="inlineStr">
        <is>
          <t>UT-06.1, UT-06.3, UT-07.1, UT-11.1</t>
        </is>
      </c>
      <c r="J45" s="5" t="inlineStr">
        <is>
          <t>https://atlas.mitre.org/case-studies/AML.CS0040</t>
        </is>
      </c>
    </row>
    <row r="46">
      <c r="A46" s="5" t="inlineStr">
        <is>
          <t>AML.CS0041</t>
        </is>
      </c>
      <c r="B46" s="5" t="inlineStr">
        <is>
          <t>Rules File Backdoor: Supply Chain Attack on AI Coding Assistants</t>
        </is>
      </c>
      <c r="C46" s="6" t="inlineStr">
        <is>
          <t>Exercise</t>
        </is>
      </c>
      <c r="D46" s="6" t="inlineStr">
        <is>
          <t>2025-03-18</t>
        </is>
      </c>
      <c r="E46" s="5" t="inlineStr">
        <is>
          <t>Pillar Security</t>
        </is>
      </c>
      <c r="F46" s="5" t="inlineStr">
        <is>
          <t>Cursor, GitHub Copilot</t>
        </is>
      </c>
      <c r="G46" s="5" t="inlineStr">
        <is>
          <t>AI 코딩도구 규칙 파일에 보이지 않는 유니코드 지시를 숨겨 악성 코드 생성 유도</t>
        </is>
      </c>
      <c r="H46" s="6" t="inlineStr">
        <is>
          <t>UT-28.2</t>
        </is>
      </c>
      <c r="I46" s="5" t="inlineStr">
        <is>
          <t>UT-02.3, UT-06.1, UT-06.2, UT-06.3, UT-06.4, UT-24.3, UT-28.2, UT-32.3, UT-34.1</t>
        </is>
      </c>
      <c r="J46" s="5" t="inlineStr">
        <is>
          <t>https://atlas.mitre.org/case-studies/AML.CS0041</t>
        </is>
      </c>
    </row>
    <row r="47">
      <c r="A47" s="5" t="inlineStr">
        <is>
          <t>AML.CS0042</t>
        </is>
      </c>
      <c r="B47" s="5" t="inlineStr">
        <is>
          <t>SesameOp: Novel backdoor uses OpenAI Assistants API for command and control</t>
        </is>
      </c>
      <c r="C47" s="6" t="inlineStr">
        <is>
          <t>Incident</t>
        </is>
      </c>
      <c r="D47" s="6" t="inlineStr">
        <is>
          <t>2025-07</t>
        </is>
      </c>
      <c r="E47" s="5" t="inlineStr">
        <is>
          <t>Unknown Threat Actor</t>
        </is>
      </c>
      <c r="F47" s="5" t="inlineStr">
        <is>
          <t>OpenAI Assistants API</t>
        </is>
      </c>
      <c r="G47" s="5" t="inlineStr">
        <is>
          <t>OpenAI Assistants API를 은밀한 C2 채널로 악용한 백도어 SesameOp(실제 사고)</t>
        </is>
      </c>
      <c r="H47" s="6" t="inlineStr">
        <is>
          <t>UT-05.1</t>
        </is>
      </c>
      <c r="I47" s="5" t="inlineStr">
        <is>
          <t>UT-05.1</t>
        </is>
      </c>
      <c r="J47" s="5" t="inlineStr">
        <is>
          <t>https://atlas.mitre.org/case-studies/AML.CS0042</t>
        </is>
      </c>
    </row>
    <row r="48">
      <c r="A48" s="5" t="inlineStr">
        <is>
          <t>AML.CS0043</t>
        </is>
      </c>
      <c r="B48" s="5" t="inlineStr">
        <is>
          <t>Malware Prototype with Embedded Prompt Injection</t>
        </is>
      </c>
      <c r="C48" s="6" t="inlineStr">
        <is>
          <t>Incident</t>
        </is>
      </c>
      <c r="D48" s="6" t="inlineStr">
        <is>
          <t>2025-06-25</t>
        </is>
      </c>
      <c r="E48" s="5" t="inlineStr">
        <is>
          <t>Unknown Threat Actor</t>
        </is>
      </c>
      <c r="F48" s="5" t="inlineStr">
        <is>
          <t>LLM malware detectors, LLM malware analysis and reverse engineering tools</t>
        </is>
      </c>
      <c r="G48" s="5" t="inlineStr">
        <is>
          <t>LLM 기반 악성코드 분석기를 속이려 프롬프트 인젝션을 내장한 악성코드(실제 사고)</t>
        </is>
      </c>
      <c r="H48" s="6" t="inlineStr">
        <is>
          <t>UT-06.1</t>
        </is>
      </c>
      <c r="I48" s="5" t="inlineStr">
        <is>
          <t>UT-02.1, UT-02.5, UT-02.6, UT-06.1, UT-17.1, UT-25.1</t>
        </is>
      </c>
      <c r="J48" s="5" t="inlineStr">
        <is>
          <t>https://atlas.mitre.org/case-studies/AML.CS0043</t>
        </is>
      </c>
    </row>
    <row r="49">
      <c r="A49" s="5" t="inlineStr">
        <is>
          <t>AML.CS0044</t>
        </is>
      </c>
      <c r="B49" s="5" t="inlineStr">
        <is>
          <t>LAMEHUG: Malware Leveraging Dynamic AI-Generated Commands</t>
        </is>
      </c>
      <c r="C49" s="6" t="inlineStr">
        <is>
          <t>Incident</t>
        </is>
      </c>
      <c r="D49" s="6" t="inlineStr">
        <is>
          <t>2025-06</t>
        </is>
      </c>
      <c r="E49" s="5" t="inlineStr">
        <is>
          <t>APT28</t>
        </is>
      </c>
      <c r="F49" s="5" t="inlineStr">
        <is>
          <t>Ukraine's security and defense sector</t>
        </is>
      </c>
      <c r="G49" s="5" t="inlineStr">
        <is>
          <t>APT28 LAMEHUG가 LLM API로 실행 명령을 동적 생성(실제 사고)</t>
        </is>
      </c>
      <c r="H49" s="6" t="inlineStr">
        <is>
          <t>UT-03.3</t>
        </is>
      </c>
      <c r="I49" s="5" t="inlineStr">
        <is>
          <t>UT-02.6, UT-03.3, UT-04.2, UT-04.3, UT-22.2, UT-25.4, UT-28.4</t>
        </is>
      </c>
      <c r="J49" s="5" t="inlineStr">
        <is>
          <t>https://atlas.mitre.org/case-studies/AML.CS0044</t>
        </is>
      </c>
    </row>
    <row r="50">
      <c r="A50" s="5" t="inlineStr">
        <is>
          <t>AML.CS0045</t>
        </is>
      </c>
      <c r="B50" s="5" t="inlineStr">
        <is>
          <t>Data Exfiltration via an MCP Server used by Cursor</t>
        </is>
      </c>
      <c r="C50" s="6" t="inlineStr">
        <is>
          <t>Exercise</t>
        </is>
      </c>
      <c r="D50" s="6" t="inlineStr">
        <is>
          <t>2025-06-24</t>
        </is>
      </c>
      <c r="E50" s="5" t="inlineStr">
        <is>
          <t>Backslash Security Research Team</t>
        </is>
      </c>
      <c r="F50" s="5" t="inlineStr">
        <is>
          <t>Cursor</t>
        </is>
      </c>
      <c r="G50" s="5" t="inlineStr">
        <is>
          <t>MCP 스크래핑 도구가 가져온 악성 웹페이지의 간접 인젝션으로 Cursor에서 셸 명령 실행·데이터 유출</t>
        </is>
      </c>
      <c r="H50" s="6" t="inlineStr">
        <is>
          <t>UT-07.1</t>
        </is>
      </c>
      <c r="I50" s="5" t="inlineStr">
        <is>
          <t>UT-02.3, UT-02.4, UT-06.1, UT-06.3, UT-07.1, UT-19.2, UT-21.4, UT-22.1, UT-25.1</t>
        </is>
      </c>
      <c r="J50" s="5" t="inlineStr">
        <is>
          <t>https://atlas.mitre.org/case-studies/AML.CS0045</t>
        </is>
      </c>
    </row>
    <row r="51">
      <c r="A51" s="5" t="inlineStr">
        <is>
          <t>AML.CS0046</t>
        </is>
      </c>
      <c r="B51" s="5" t="inlineStr">
        <is>
          <t>Data Destruction via Indirect Prompt Injection Targeting Claude Computer-Use</t>
        </is>
      </c>
      <c r="C51" s="6" t="inlineStr">
        <is>
          <t>Exercise</t>
        </is>
      </c>
      <c r="D51" s="6" t="inlineStr">
        <is>
          <t>2024-10-24</t>
        </is>
      </c>
      <c r="E51" s="5" t="inlineStr">
        <is>
          <t>HiddenLayer</t>
        </is>
      </c>
      <c r="F51" s="5" t="inlineStr">
        <is>
          <t>Claude Computer Use Agent</t>
        </is>
      </c>
      <c r="G51" s="5" t="inlineStr">
        <is>
          <t>웹페이지 인젝션으로 Claude Computer Use가 셸 명령으로 사용자 데이터 삭제</t>
        </is>
      </c>
      <c r="H51" s="6" t="inlineStr">
        <is>
          <t>UT-07.1</t>
        </is>
      </c>
      <c r="I51" s="5" t="inlineStr">
        <is>
          <t>UT-06.1, UT-06.2, UT-06.3, UT-07.1, UT-21.4, UT-21.5, UT-22.1</t>
        </is>
      </c>
      <c r="J51" s="5" t="inlineStr">
        <is>
          <t>https://atlas.mitre.org/case-studies/AML.CS0046</t>
        </is>
      </c>
    </row>
    <row r="52">
      <c r="A52" s="5" t="inlineStr">
        <is>
          <t>AML.CS0047</t>
        </is>
      </c>
      <c r="B52" s="5" t="inlineStr">
        <is>
          <t>Code to Deploy Destructive AI Agent Discovered in Amazon Q VS Code Extension</t>
        </is>
      </c>
      <c r="C52" s="6" t="inlineStr">
        <is>
          <t>Incident</t>
        </is>
      </c>
      <c r="D52" s="6" t="inlineStr">
        <is>
          <t>2025-07-13</t>
        </is>
      </c>
      <c r="E52" s="5" t="inlineStr">
        <is>
          <t>lkmanka58 (GitHub user)</t>
        </is>
      </c>
      <c r="F52" s="5" t="inlineStr">
        <is>
          <t>Amazon Q VS Code Extension</t>
        </is>
      </c>
      <c r="G52" s="5" t="inlineStr">
        <is>
          <t>과권한 GitHub 토큰으로 Amazon Q VS Code 확장에 파괴형 에이전트 지시 커밋(실제 사고)</t>
        </is>
      </c>
      <c r="H52" s="6" t="inlineStr">
        <is>
          <t>UT-28.2</t>
        </is>
      </c>
      <c r="I52" s="5" t="inlineStr">
        <is>
          <t>UT-06.1, UT-21.5, UT-24.2, UT-25.1, UT-28.2, UT-32.3</t>
        </is>
      </c>
      <c r="J52" s="5" t="inlineStr">
        <is>
          <t>https://atlas.mitre.org/case-studies/AML.CS0047</t>
        </is>
      </c>
    </row>
    <row r="53">
      <c r="A53" s="5" t="inlineStr">
        <is>
          <t>AML.CS0048</t>
        </is>
      </c>
      <c r="B53" s="5" t="inlineStr">
        <is>
          <t>Exposed ClawdBot Control Interfaces Leads to Credential Access and Execution</t>
        </is>
      </c>
      <c r="C53" s="6" t="inlineStr">
        <is>
          <t>Exercise</t>
        </is>
      </c>
      <c r="D53" s="6" t="inlineStr">
        <is>
          <t>2026-01-25</t>
        </is>
      </c>
      <c r="E53" s="5" t="inlineStr">
        <is>
          <t>Jamieson O'Reilly</t>
        </is>
      </c>
      <c r="F53" s="5" t="inlineStr">
        <is>
          <t>ClawdBot (now OpenClaw)</t>
        </is>
      </c>
      <c r="G53" s="5" t="inlineStr">
        <is>
          <t>인터넷에 노출된 ClawdBot 제어 인터페이스 수백 개에서 자격증명 탈취·명령 실행</t>
        </is>
      </c>
      <c r="H53" s="6" t="inlineStr">
        <is>
          <t>UT-31.1</t>
        </is>
      </c>
      <c r="I53" s="5" t="inlineStr">
        <is>
          <t>UT-01.1, UT-02.6, UT-07.1, UT-08.1, UT-11.3, UT-21.4, UT-22.1, UT-25.1, UT-25.2, UT-31.1</t>
        </is>
      </c>
      <c r="J53" s="5" t="inlineStr">
        <is>
          <t>https://atlas.mitre.org/case-studies/AML.CS0048</t>
        </is>
      </c>
    </row>
    <row r="54">
      <c r="A54" s="5" t="inlineStr">
        <is>
          <t>AML.CS0049</t>
        </is>
      </c>
      <c r="B54" s="5" t="inlineStr">
        <is>
          <t>Supply Chain Compromise via Poisoned ClawdBot Skill</t>
        </is>
      </c>
      <c r="C54" s="6" t="inlineStr">
        <is>
          <t>Exercise</t>
        </is>
      </c>
      <c r="D54" s="6" t="inlineStr">
        <is>
          <t>2026-01-26</t>
        </is>
      </c>
      <c r="E54" s="5" t="inlineStr">
        <is>
          <t>Jamieson O'Reilly</t>
        </is>
      </c>
      <c r="F54" s="5" t="inlineStr">
        <is>
          <t>ClawdBot (now OpenClaw)</t>
        </is>
      </c>
      <c r="G54" s="5" t="inlineStr">
        <is>
          <t>스킬 레지스트리에 올린 오염된 ClawdBot 스킬로 원격 코드 실행</t>
        </is>
      </c>
      <c r="H54" s="6" t="inlineStr">
        <is>
          <t>UT-29.2</t>
        </is>
      </c>
      <c r="I54" s="5" t="inlineStr">
        <is>
          <t>UT-02.1, UT-02.3, UT-06.1, UT-07.1, UT-21.4, UT-22.1, UT-28.4, UT-29.1, UT-29.2</t>
        </is>
      </c>
      <c r="J54" s="5" t="inlineStr">
        <is>
          <t>https://atlas.mitre.org/case-studies/AML.CS0049</t>
        </is>
      </c>
    </row>
    <row r="55">
      <c r="A55" s="5" t="inlineStr">
        <is>
          <t>AML.CS0050</t>
        </is>
      </c>
      <c r="B55" s="5" t="inlineStr">
        <is>
          <t>OpenClaw 1-Click Remote Code Execution</t>
        </is>
      </c>
      <c r="C55" s="6" t="inlineStr">
        <is>
          <t>Exercise</t>
        </is>
      </c>
      <c r="D55" s="6" t="inlineStr">
        <is>
          <t>2026-02-01</t>
        </is>
      </c>
      <c r="E55" s="5" t="inlineStr">
        <is>
          <t>DepthFirst</t>
        </is>
      </c>
      <c r="F55" s="5" t="inlineStr">
        <is>
          <t>OpenClaw</t>
        </is>
      </c>
      <c r="G55" s="5" t="inlineStr">
        <is>
          <t>악성 링크 1회 클릭으로 OpenClaw 로컬 에이전트 원격 코드 실행</t>
        </is>
      </c>
      <c r="H55" s="6" t="inlineStr">
        <is>
          <t>UT-22.1</t>
        </is>
      </c>
      <c r="I55" s="5" t="inlineStr">
        <is>
          <t>UT-02.1, UT-02.3, UT-02.4, UT-02.5, UT-22.1, UT-22.3, UT-24.3, UT-25.3, UT-25.4, UT-32.2</t>
        </is>
      </c>
      <c r="J55" s="5" t="inlineStr">
        <is>
          <t>https://atlas.mitre.org/case-studies/AML.CS0050</t>
        </is>
      </c>
    </row>
    <row r="56">
      <c r="A56" s="5" t="inlineStr">
        <is>
          <t>AML.CS0051</t>
        </is>
      </c>
      <c r="B56" s="5" t="inlineStr">
        <is>
          <t>OpenClaw Command &amp; Control via Prompt Injection</t>
        </is>
      </c>
      <c r="C56" s="6" t="inlineStr">
        <is>
          <t>Exercise</t>
        </is>
      </c>
      <c r="D56" s="6" t="inlineStr">
        <is>
          <t>2026-02-03</t>
        </is>
      </c>
      <c r="E56" s="5" t="inlineStr">
        <is>
          <t>HiddenLayer</t>
        </is>
      </c>
      <c r="F56" s="5" t="inlineStr">
        <is>
          <t>OpenClaw</t>
        </is>
      </c>
      <c r="G56" s="5" t="inlineStr">
        <is>
          <t>웹페이지 인젝션으로 OpenClaw에 지속 지시를 심어 C2로 활용</t>
        </is>
      </c>
      <c r="H56" s="6" t="inlineStr">
        <is>
          <t>UT-07.1</t>
        </is>
      </c>
      <c r="I56" s="5" t="inlineStr">
        <is>
          <t>UT-01.1, UT-02.2, UT-02.3, UT-02.4, UT-05.2, UT-06.1, UT-06.2, UT-07.1, UT-08.1, UT-11.2, UT-21.4, UT-24.3, UT-28.4, UT-32.2</t>
        </is>
      </c>
      <c r="J56" s="5" t="inlineStr">
        <is>
          <t>https://atlas.mitre.org/case-studies/AML.CS0051</t>
        </is>
      </c>
    </row>
    <row r="57">
      <c r="A57" s="5" t="inlineStr">
        <is>
          <t>AML.CS0052</t>
        </is>
      </c>
      <c r="B57" s="5" t="inlineStr">
        <is>
          <t>LLMSmith: RCE Vulnerabilities in LLM-Integrated Applications</t>
        </is>
      </c>
      <c r="C57" s="6" t="inlineStr">
        <is>
          <t>Exercise</t>
        </is>
      </c>
      <c r="D57" s="6" t="inlineStr">
        <is>
          <t>2025-02-27</t>
        </is>
      </c>
      <c r="E57" s="5" t="inlineStr">
        <is>
          <t>Researchers at University of Chinese Academy of Sciences, Shandong University, and University of New South Wales</t>
        </is>
      </c>
      <c r="F57" s="5" t="inlineStr">
        <is>
          <t>LLM Integration Frameworks</t>
        </is>
      </c>
      <c r="G57" s="5" t="inlineStr">
        <is>
          <t>11개 LLM 프레임워크에서 20개 RCE 취약점 발견, 인터넷 공개 앱에서 실증(LLMSmith)</t>
        </is>
      </c>
      <c r="H57" s="6" t="inlineStr">
        <is>
          <t>UT-22.1</t>
        </is>
      </c>
      <c r="I57" s="5" t="inlineStr">
        <is>
          <t>UT-01.1, UT-02.1, UT-02.4, UT-02.6, UT-06.1, UT-06.2, UT-08.2, UT-18.3, UT-21.4, UT-22.1, UT-22.3, UT-22.4, UT-32.2</t>
        </is>
      </c>
      <c r="J57" s="5" t="inlineStr">
        <is>
          <t>https://atlas.mitre.org/case-studies/AML.CS0052</t>
        </is>
      </c>
    </row>
    <row r="58">
      <c r="A58" s="5" t="inlineStr">
        <is>
          <t>AML.CS0053</t>
        </is>
      </c>
      <c r="B58" s="5" t="inlineStr">
        <is>
          <t>Poisoned Postmark MCP Server Email Exfiltration</t>
        </is>
      </c>
      <c r="C58" s="6" t="inlineStr">
        <is>
          <t>Incident</t>
        </is>
      </c>
      <c r="D58" s="6" t="inlineStr">
        <is>
          <t>2025-09</t>
        </is>
      </c>
      <c r="E58" s="5" t="inlineStr">
        <is>
          <t>Unknown Bad Actor</t>
        </is>
      </c>
      <c r="F58" s="5" t="inlineStr">
        <is>
          <t>Postmark MCP Server</t>
        </is>
      </c>
      <c r="G58" s="5" t="inlineStr">
        <is>
          <t>Postmark를 사칭한 악성 MCP 서버가 발송 메일을 몰래 BCC로 유출(실제 사고)</t>
        </is>
      </c>
      <c r="H58" s="6" t="inlineStr">
        <is>
          <t>UT-29.2</t>
        </is>
      </c>
      <c r="I58" s="5" t="inlineStr">
        <is>
          <t>UT-02.1, UT-04.3, UT-19.2, UT-28.4, UT-29.2</t>
        </is>
      </c>
      <c r="J58" s="5" t="inlineStr">
        <is>
          <t>https://atlas.mitre.org/case-studies/AML.CS0053</t>
        </is>
      </c>
    </row>
    <row r="59">
      <c r="A59" s="5" t="inlineStr">
        <is>
          <t>AML.CS0054</t>
        </is>
      </c>
      <c r="B59" s="5" t="inlineStr">
        <is>
          <t>Data Exfiltration via Remote Poisoned MCP Tool</t>
        </is>
      </c>
      <c r="C59" s="6" t="inlineStr">
        <is>
          <t>Exercise</t>
        </is>
      </c>
      <c r="D59" s="6" t="inlineStr">
        <is>
          <t>2025-04-01</t>
        </is>
      </c>
      <c r="E59" s="5" t="inlineStr">
        <is>
          <t>Invariant Labs</t>
        </is>
      </c>
      <c r="F59" s="5" t="inlineStr">
        <is>
          <t>Model Context Protocol</t>
        </is>
      </c>
      <c r="G59" s="5" t="inlineStr">
        <is>
          <t>원격 MCP 도구 설명문의 숨은 지시로 에이전트가 파일·데이터 유출</t>
        </is>
      </c>
      <c r="H59" s="6" t="inlineStr">
        <is>
          <t>UT-29.2</t>
        </is>
      </c>
      <c r="I59" s="5" t="inlineStr">
        <is>
          <t>UT-06.1, UT-07.1, UT-19.2, UT-21.4, UT-25.1, UT-25.2, UT-29.1, UT-29.2</t>
        </is>
      </c>
      <c r="J59" s="5" t="inlineStr">
        <is>
          <t>https://atlas.mitre.org/case-studies/AML.CS0054</t>
        </is>
      </c>
    </row>
    <row r="60">
      <c r="A60" s="5" t="inlineStr">
        <is>
          <t>AML.CS0055</t>
        </is>
      </c>
      <c r="B60" s="5" t="inlineStr">
        <is>
          <t>AI ClickFix: Hijacking Computer-Use Agents Using ClickFix</t>
        </is>
      </c>
      <c r="C60" s="6" t="inlineStr">
        <is>
          <t>Exercise</t>
        </is>
      </c>
      <c r="D60" s="6" t="inlineStr">
        <is>
          <t>2025-05-24</t>
        </is>
      </c>
      <c r="E60" s="5" t="inlineStr">
        <is>
          <t>Embrace the Red</t>
        </is>
      </c>
      <c r="F60" s="5" t="inlineStr">
        <is>
          <t>Claude Computer-Use Agent</t>
        </is>
      </c>
      <c r="G60" s="5" t="inlineStr">
        <is>
          <t>ClickFix 사회공학으로 컴퓨터 사용 에이전트가 악성 명령 실행</t>
        </is>
      </c>
      <c r="H60" s="6" t="inlineStr">
        <is>
          <t>UT-07.1</t>
        </is>
      </c>
      <c r="I60" s="5" t="inlineStr">
        <is>
          <t>UT-02.1, UT-02.3, UT-02.4, UT-07.1, UT-07.4, UT-21.4, UT-22.1, UT-32.2</t>
        </is>
      </c>
      <c r="J60" s="5" t="inlineStr">
        <is>
          <t>https://atlas.mitre.org/case-studies/AML.CS0055</t>
        </is>
      </c>
    </row>
    <row r="61">
      <c r="A61" s="5" t="inlineStr">
        <is>
          <t>AML.CS0056</t>
        </is>
      </c>
      <c r="B61" s="5" t="inlineStr">
        <is>
          <t>Model Distillation Campaigns Targeting Anthropic Claude</t>
        </is>
      </c>
      <c r="C61" s="6" t="inlineStr">
        <is>
          <t>Incident</t>
        </is>
      </c>
      <c r="D61" s="6" t="inlineStr">
        <is>
          <t>2026-02-23</t>
        </is>
      </c>
      <c r="E61" s="5" t="inlineStr">
        <is>
          <t>DeepSeek, Moonshot AI, MiniMax</t>
        </is>
      </c>
      <c r="F61" s="5" t="inlineStr">
        <is>
          <t>Anthropic Claude</t>
        </is>
      </c>
      <c r="G61" s="5" t="inlineStr">
        <is>
          <t>약 2.4만 계정·1,600만 쿼리로 Claude 능력을 증류하려는 캠페인 적발(실제 사고)</t>
        </is>
      </c>
      <c r="H61" s="6" t="inlineStr">
        <is>
          <t>UT-16.1</t>
        </is>
      </c>
      <c r="I61" s="5" t="inlineStr">
        <is>
          <t>UT-01.3, UT-02.3, UT-06.1, UT-16.1</t>
        </is>
      </c>
      <c r="J61" s="5" t="inlineStr">
        <is>
          <t>https://atlas.mitre.org/case-studies/AML.CS0056</t>
        </is>
      </c>
    </row>
    <row r="62">
      <c r="A62" s="5" t="inlineStr">
        <is>
          <t>AML.CS0057</t>
        </is>
      </c>
      <c r="B62" s="5" t="inlineStr">
        <is>
          <t>Storm-2139 Azure OpenAI Guardrail Bypass</t>
        </is>
      </c>
      <c r="C62" s="6" t="inlineStr">
        <is>
          <t>Incident</t>
        </is>
      </c>
      <c r="D62" s="6" t="inlineStr">
        <is>
          <t>2024-12</t>
        </is>
      </c>
      <c r="E62" s="5" t="inlineStr">
        <is>
          <t>Storm-2139</t>
        </is>
      </c>
      <c r="F62" s="5" t="inlineStr">
        <is>
          <t>Microsoft Azure OpenAI Service</t>
        </is>
      </c>
      <c r="G62" s="5" t="inlineStr">
        <is>
          <t>Storm-2139가 노출 자격증명과 탈옥 도구로 Azure OpenAI 가드레일 우회·접근권 재판매(실제 사고)</t>
        </is>
      </c>
      <c r="H62" s="6" t="inlineStr">
        <is>
          <t>UT-06.2</t>
        </is>
      </c>
      <c r="I62" s="5" t="inlineStr">
        <is>
          <t>UT-01.3, UT-02.1, UT-02.3, UT-04.1, UT-06.2, UT-25.4</t>
        </is>
      </c>
      <c r="J62" s="5" t="inlineStr">
        <is>
          <t>https://atlas.mitre.org/case-studies/AML.CS0057</t>
        </is>
      </c>
    </row>
    <row r="63">
      <c r="A63" s="5" t="inlineStr">
        <is>
          <t>AML.CS0058</t>
        </is>
      </c>
      <c r="B63" s="5" t="inlineStr">
        <is>
          <t>Google Photos AI Model Extraction</t>
        </is>
      </c>
      <c r="C63" s="6" t="inlineStr">
        <is>
          <t>Exercise</t>
        </is>
      </c>
      <c r="D63" s="6" t="inlineStr">
        <is>
          <t>2025-03</t>
        </is>
      </c>
      <c r="E63" s="5" t="inlineStr">
        <is>
          <t>Skyld</t>
        </is>
      </c>
      <c r="F63" s="5" t="inlineStr">
        <is>
          <t>Google Photos Android App</t>
        </is>
      </c>
      <c r="G63" s="5" t="inlineStr">
        <is>
          <t>Google Photos 앱에서 암호화되지 않은 TFLite 모델을 추출</t>
        </is>
      </c>
      <c r="H63" s="6" t="inlineStr">
        <is>
          <t>UT-16.2</t>
        </is>
      </c>
      <c r="I63" s="5" t="inlineStr">
        <is>
          <t>UT-01.3, UT-01.4, UT-02.6, UT-16.2, UT-17.1</t>
        </is>
      </c>
      <c r="J63" s="5" t="inlineStr">
        <is>
          <t>https://atlas.mitre.org/case-studies/AML.CS0058</t>
        </is>
      </c>
    </row>
    <row r="64">
      <c r="A64" s="5" t="inlineStr">
        <is>
          <t>AML.CS0059</t>
        </is>
      </c>
      <c r="B64" s="5" t="inlineStr">
        <is>
          <t>EchoLeak: Zero-Click Prompt Injection Targeting M365 Copilot for Data Exfiltration</t>
        </is>
      </c>
      <c r="C64" s="6" t="inlineStr">
        <is>
          <t>Exercise</t>
        </is>
      </c>
      <c r="D64" s="6" t="inlineStr">
        <is>
          <t>2025-05</t>
        </is>
      </c>
      <c r="E64" s="5" t="inlineStr">
        <is>
          <t>Aim Labs</t>
        </is>
      </c>
      <c r="F64" s="5" t="inlineStr">
        <is>
          <t>Microsoft 365 Copilot</t>
        </is>
      </c>
      <c r="G64" s="5" t="inlineStr">
        <is>
          <t>EchoLeak: 메일 한 통으로 M365 Copilot이 사용자 조작 없이 기업 데이터 유출(제로클릭)</t>
        </is>
      </c>
      <c r="H64" s="6" t="inlineStr">
        <is>
          <t>UT-07.1</t>
        </is>
      </c>
      <c r="I64" s="5" t="inlineStr">
        <is>
          <t>UT-02.3, UT-02.6, UT-06.1, UT-06.3, UT-07.1, UT-07.2, UT-10.1, UT-12.2, UT-18.1, UT-19.1, UT-34.1</t>
        </is>
      </c>
      <c r="J64" s="5" t="inlineStr">
        <is>
          <t>https://atlas.mitre.org/case-studies/AML.CS0059</t>
        </is>
      </c>
    </row>
    <row r="65">
      <c r="A65" s="5" t="inlineStr">
        <is>
          <t>AML.CS0060</t>
        </is>
      </c>
      <c r="B65" s="5" t="inlineStr">
        <is>
          <t>Cross-Site Scripting via Prompt Manipulation in Lenovo AI Chatbot</t>
        </is>
      </c>
      <c r="C65" s="6" t="inlineStr">
        <is>
          <t>Exercise</t>
        </is>
      </c>
      <c r="D65" s="6" t="inlineStr">
        <is>
          <t>2025-08-18</t>
        </is>
      </c>
      <c r="E65" s="5" t="inlineStr">
        <is>
          <t>Cybernews Research Team</t>
        </is>
      </c>
      <c r="F65" s="5" t="inlineStr">
        <is>
          <t>Lenovo AI chatbot, "Lena"</t>
        </is>
      </c>
      <c r="G65" s="5" t="inlineStr">
        <is>
          <t>Lenovo 챗봇이 생성한 악성 HTML이 상담원 브라우저에서 실행되어 세션 쿠키 탈취(XSS)</t>
        </is>
      </c>
      <c r="H65" s="6" t="inlineStr">
        <is>
          <t>UT-18.1</t>
        </is>
      </c>
      <c r="I65" s="5" t="inlineStr">
        <is>
          <t>UT-01.3, UT-02.3, UT-06.1, UT-07.1, UT-18.1, UT-22.1, UT-22.2, UT-25.3, UT-25.4</t>
        </is>
      </c>
      <c r="J65" s="5" t="inlineStr">
        <is>
          <t>https://atlas.mitre.org/case-studies/AML.CS0060</t>
        </is>
      </c>
    </row>
    <row r="66">
      <c r="A66" s="5" t="inlineStr">
        <is>
          <t>AML.CS0061</t>
        </is>
      </c>
      <c r="B66" s="5" t="inlineStr">
        <is>
          <t>AI in the Middle: Web-Based AI Services as C2 Relays</t>
        </is>
      </c>
      <c r="C66" s="6" t="inlineStr">
        <is>
          <t>Exercise</t>
        </is>
      </c>
      <c r="D66" s="6" t="inlineStr">
        <is>
          <t>2026-02-17</t>
        </is>
      </c>
      <c r="E66" s="5" t="inlineStr">
        <is>
          <t>Check Point Research</t>
        </is>
      </c>
      <c r="F66" s="5" t="inlineStr">
        <is>
          <t>Enterprise machines with Grok and Microsoft Copilot access</t>
        </is>
      </c>
      <c r="G66" s="5" t="inlineStr">
        <is>
          <t>익명 웹 AI 비서의 URL 조회 기능을 악성코드 C2 중계로 악용(AI in the Middle)</t>
        </is>
      </c>
      <c r="H66" s="6" t="inlineStr">
        <is>
          <t>UT-05.2</t>
        </is>
      </c>
      <c r="I66" s="5" t="inlineStr">
        <is>
          <t>UT-01.1, UT-01.3, UT-02.3, UT-02.6, UT-05.2, UT-06.1, UT-06.3, UT-19.2, UT-22.1</t>
        </is>
      </c>
      <c r="J66" s="5" t="inlineStr">
        <is>
          <t>https://atlas.mitre.org/case-studies/AML.CS0061</t>
        </is>
      </c>
    </row>
    <row r="67">
      <c r="A67" s="5" t="inlineStr">
        <is>
          <t>AML.CS0062</t>
        </is>
      </c>
      <c r="B67" s="5" t="inlineStr">
        <is>
          <t>RCE Vulnerability in Semantic Kernel Search Plugin</t>
        </is>
      </c>
      <c r="C67" s="6" t="inlineStr">
        <is>
          <t>Exercise</t>
        </is>
      </c>
      <c r="D67" s="6" t="inlineStr">
        <is>
          <t>2026-05-07</t>
        </is>
      </c>
      <c r="E67" s="5" t="inlineStr">
        <is>
          <t>Microsoft Defender Security Research Team</t>
        </is>
      </c>
      <c r="F67" s="5" t="inlineStr">
        <is>
          <t>Semantic Kernel</t>
        </is>
      </c>
      <c r="G67" s="5" t="inlineStr">
        <is>
          <t>Semantic Kernel 검색 플러그인에서 단일 인젝션으로 원격 코드 실행</t>
        </is>
      </c>
      <c r="H67" s="6" t="inlineStr">
        <is>
          <t>UT-22.4</t>
        </is>
      </c>
      <c r="I67" s="5" t="inlineStr">
        <is>
          <t>UT-01.3, UT-06.1, UT-07.1, UT-21.4, UT-22.1, UT-22.3, UT-22.4</t>
        </is>
      </c>
      <c r="J67" s="5" t="inlineStr">
        <is>
          <t>https://atlas.mitre.org/case-studies/AML.CS0062</t>
        </is>
      </c>
    </row>
    <row r="68">
      <c r="A68" s="5" t="inlineStr">
        <is>
          <t>AML.CS0063</t>
        </is>
      </c>
      <c r="B68" s="5" t="inlineStr">
        <is>
          <t>Prompt-Based Attacks Against Gemini via Calendar Invitations</t>
        </is>
      </c>
      <c r="C68" s="6" t="inlineStr">
        <is>
          <t>Exercise</t>
        </is>
      </c>
      <c r="D68" s="6" t="inlineStr">
        <is>
          <t>2025-08-06</t>
        </is>
      </c>
      <c r="E68" s="5" t="inlineStr">
        <is>
          <t>SafeBreach Research Team</t>
        </is>
      </c>
      <c r="F68" s="5" t="inlineStr">
        <is>
          <t>Google Gemini</t>
        </is>
      </c>
      <c r="G68" s="5" t="inlineStr">
        <is>
          <t>캘린더 초대·메일에 숨긴 지시로 Gemini 비서가 기기·앱을 조작</t>
        </is>
      </c>
      <c r="H68" s="6" t="inlineStr">
        <is>
          <t>UT-07.5</t>
        </is>
      </c>
      <c r="I68" s="5" t="inlineStr">
        <is>
          <t>UT-01.2, UT-02.6, UT-06.1, UT-06.2, UT-07.1, UT-07.2, UT-07.5, UT-08.2, UT-11.2, UT-12.2, UT-19.2, UT-21.4, UT-21.5</t>
        </is>
      </c>
      <c r="J68" s="5" t="inlineStr">
        <is>
          <t>https://atlas.mitre.org/case-studies/AML.CS0063</t>
        </is>
      </c>
    </row>
    <row r="69">
      <c r="A69" s="5" t="inlineStr">
        <is>
          <t>AML.CS0064</t>
        </is>
      </c>
      <c r="B69" s="5" t="inlineStr">
        <is>
          <t>Poisoned GGUF Templates: Inference-Time Supply Chain Attack</t>
        </is>
      </c>
      <c r="C69" s="6" t="inlineStr">
        <is>
          <t>Exercise</t>
        </is>
      </c>
      <c r="D69" s="6" t="inlineStr">
        <is>
          <t>2025-06</t>
        </is>
      </c>
      <c r="E69" s="5" t="inlineStr">
        <is>
          <t>Pillar Security, Fujitsu Research of Europe</t>
        </is>
      </c>
      <c r="F69" s="5" t="inlineStr">
        <is>
          <t>Model registries distributing models in GGUF format</t>
        </is>
      </c>
      <c r="G69" s="5" t="inlineStr">
        <is>
          <t>GGUF 채팅 템플릿을 오염시켜 가중치 변경 없이 추론 시점 백도어 구현</t>
        </is>
      </c>
      <c r="H69" s="6" t="inlineStr">
        <is>
          <t>UT-14.3</t>
        </is>
      </c>
      <c r="I69" s="5" t="inlineStr">
        <is>
          <t>UT-02.1, UT-02.2, UT-07.2, UT-09.4, UT-14.3, UT-19.2, UT-21.4, UT-28.1, UT-28.4, UT-34.1</t>
        </is>
      </c>
      <c r="J69" s="5" t="inlineStr">
        <is>
          <t>https://atlas.mitre.org/case-studies/AML.CS0064</t>
        </is>
      </c>
    </row>
    <row r="70">
      <c r="A70" s="5" t="inlineStr">
        <is>
          <t>AML.CS0065</t>
        </is>
      </c>
      <c r="B70" s="5" t="inlineStr">
        <is>
          <t>Model Namespace Reuse Supply Chain Attack</t>
        </is>
      </c>
      <c r="C70" s="6" t="inlineStr">
        <is>
          <t>Exercise</t>
        </is>
      </c>
      <c r="D70" s="6" t="inlineStr">
        <is>
          <t>2025-09-03</t>
        </is>
      </c>
      <c r="E70" s="5" t="inlineStr">
        <is>
          <t>Unit 42 Researchers</t>
        </is>
      </c>
      <c r="F70" s="5" t="inlineStr">
        <is>
          <t>Users of Hugging Face-backed model catalogs, code pipelines, and cloud integrations</t>
        </is>
      </c>
      <c r="G70" s="5" t="inlineStr">
        <is>
          <t>삭제된 Hugging Face 작성자 네임스페이스를 재등록해 악성 모델로 대체</t>
        </is>
      </c>
      <c r="H70" s="6" t="inlineStr">
        <is>
          <t>UT-28.4</t>
        </is>
      </c>
      <c r="I70" s="5" t="inlineStr">
        <is>
          <t>UT-01.1, UT-02.3, UT-02.6, UT-14.2, UT-28.1, UT-28.4</t>
        </is>
      </c>
      <c r="J70" s="5" t="inlineStr">
        <is>
          <t>https://atlas.mitre.org/case-studies/AML.CS0065</t>
        </is>
      </c>
    </row>
    <row r="71">
      <c r="A71" s="5" t="inlineStr">
        <is>
          <t>AML.CS0066</t>
        </is>
      </c>
      <c r="B71" s="5" t="inlineStr">
        <is>
          <t>ZombieAgent: Data Exfiltration Attack on ChatGPT</t>
        </is>
      </c>
      <c r="C71" s="6" t="inlineStr">
        <is>
          <t>Exercise</t>
        </is>
      </c>
      <c r="D71" s="6" t="inlineStr">
        <is>
          <t>2025-09-25</t>
        </is>
      </c>
      <c r="E71" s="5" t="inlineStr">
        <is>
          <t>Radware Security Researchers</t>
        </is>
      </c>
      <c r="F71" s="5" t="inlineStr">
        <is>
          <t>OpenAI ChatGPT</t>
        </is>
      </c>
      <c r="G71" s="5" t="inlineStr">
        <is>
          <t>ZombieAgent: 외부 콘텐츠의 숨은 지시로 ChatGPT Deep Research·커넥터가 데이터 유출</t>
        </is>
      </c>
      <c r="H71" s="6" t="inlineStr">
        <is>
          <t>UT-07.1</t>
        </is>
      </c>
      <c r="I71" s="5" t="inlineStr">
        <is>
          <t>UT-02.3, UT-06.1, UT-06.2, UT-06.3, UT-07.1, UT-11.1, UT-12.2, UT-19.2, UT-21.4</t>
        </is>
      </c>
      <c r="J71" s="5" t="inlineStr">
        <is>
          <t>https://atlas.mitre.org/case-studies/AML.CS0066</t>
        </is>
      </c>
    </row>
    <row r="72">
      <c r="A72" s="5" t="inlineStr">
        <is>
          <t>AML.CS0067</t>
        </is>
      </c>
      <c r="B72" s="5" t="inlineStr">
        <is>
          <t>Claude Code GitHub Action Secret Exposure</t>
        </is>
      </c>
      <c r="C72" s="6" t="inlineStr">
        <is>
          <t>Exercise</t>
        </is>
      </c>
      <c r="D72" s="6" t="inlineStr">
        <is>
          <t>2026-06-05</t>
        </is>
      </c>
      <c r="E72" s="5" t="inlineStr">
        <is>
          <t>Microsoft Defender Security Research Team</t>
        </is>
      </c>
      <c r="F72" s="5" t="inlineStr">
        <is>
          <t>Claude Code GitHub Action</t>
        </is>
      </c>
      <c r="G72" s="5" t="inlineStr">
        <is>
          <t>Claude Code GitHub Action이 인젝션으로 저장소 비밀값을 노출</t>
        </is>
      </c>
      <c r="H72" s="6" t="inlineStr">
        <is>
          <t>UT-25.2</t>
        </is>
      </c>
      <c r="I72" s="5" t="inlineStr">
        <is>
          <t>UT-01.1, UT-06.1, UT-06.2, UT-07.1, UT-08.2, UT-12.1, UT-19.2, UT-21.4, UT-25.2</t>
        </is>
      </c>
      <c r="J72" s="5" t="inlineStr">
        <is>
          <t>https://atlas.mitre.org/case-studies/AML.CS0067</t>
        </is>
      </c>
    </row>
    <row r="73">
      <c r="A73" s="5" t="inlineStr">
        <is>
          <t>AML.CS0068</t>
        </is>
      </c>
      <c r="B73" s="5" t="inlineStr">
        <is>
          <t>Autonomous OpenAI Evaluation Agents Compromise Hugging Face Infrastructure</t>
        </is>
      </c>
      <c r="C73" s="6" t="inlineStr">
        <is>
          <t>Incident</t>
        </is>
      </c>
      <c r="D73" s="6" t="inlineStr">
        <is>
          <t>2026-07-08</t>
        </is>
      </c>
      <c r="E73" s="5" t="inlineStr">
        <is>
          <t>Autonomous OpenAI Agents</t>
        </is>
      </c>
      <c r="F73" s="5" t="inlineStr">
        <is>
          <t>Hugging Face Infrastructure</t>
        </is>
      </c>
      <c r="G73" s="5" t="inlineStr">
        <is>
          <t>OpenAI 평가용 자율 에이전트들이 평가 경계를 넘어 외부 인프라 구축·Hugging Face 침해(실제 사고)</t>
        </is>
      </c>
      <c r="H73" s="6" t="inlineStr">
        <is>
          <t>UT-24.4</t>
        </is>
      </c>
      <c r="I73" s="5" t="inlineStr">
        <is>
          <t>UT-01.4, UT-02.4, UT-02.5, UT-02.6, UT-03.1, UT-03.2, UT-03.3, UT-05.3, UT-22.1, UT-22.3, UT-24.1, UT-24.4, UT-25.1, UT-25.4, UT-28.5</t>
        </is>
      </c>
      <c r="J73" s="5" t="inlineStr">
        <is>
          <t>https://atlas.mitre.org/case-studies/AML.CS0068</t>
        </is>
      </c>
    </row>
    <row r="74">
      <c r="A74" s="5" t="inlineStr">
        <is>
          <t>AML.CS0069</t>
        </is>
      </c>
      <c r="B74" s="5" t="inlineStr">
        <is>
          <t>GTG-1002 Claude Code Espionage Campaign</t>
        </is>
      </c>
      <c r="C74" s="6" t="inlineStr">
        <is>
          <t>Incident</t>
        </is>
      </c>
      <c r="D74" s="6" t="inlineStr">
        <is>
          <t>2025-09</t>
        </is>
      </c>
      <c r="E74" s="5" t="inlineStr">
        <is>
          <t>GTG-1002</t>
        </is>
      </c>
      <c r="F74" s="5" t="inlineStr">
        <is>
          <t>30 entities in the technology, financial, chemical, and government sectors</t>
        </is>
      </c>
      <c r="G74" s="5" t="inlineStr">
        <is>
          <t>GTG-1002가 탈옥한 Claude Code로 약 30개 조직 대상 자율 사이버 첩보(실제 사고)</t>
        </is>
      </c>
      <c r="H74" s="6" t="inlineStr">
        <is>
          <t>UT-03.1</t>
        </is>
      </c>
      <c r="I74" s="5" t="inlineStr">
        <is>
          <t>UT-01.2, UT-01.3, UT-01.4, UT-02.1, UT-02.3, UT-02.4, UT-02.6, UT-03.1, UT-06.1, UT-06.2, UT-24.2, UT-25.1, UT-25.4</t>
        </is>
      </c>
      <c r="J74" s="5" t="inlineStr">
        <is>
          <t>https://atlas.mitre.org/case-studies/AML.CS0069</t>
        </is>
      </c>
    </row>
    <row r="75">
      <c r="A75" s="5" t="inlineStr">
        <is>
          <t>AML.CS0070</t>
        </is>
      </c>
      <c r="B75" s="5" t="inlineStr">
        <is>
          <t>Threat Actor Uses a DeepSeek-Powered Hermes Agent in Langflow and n8n Exploitation Attempts</t>
        </is>
      </c>
      <c r="C75" s="6" t="inlineStr">
        <is>
          <t>Incident</t>
        </is>
      </c>
      <c r="D75" s="6" t="inlineStr">
        <is>
          <t>2026-05-07</t>
        </is>
      </c>
      <c r="E75" s="5" t="inlineStr">
        <is>
          <t>Chinese-speaking threat actor using the aliases knaithe and KnYuan</t>
        </is>
      </c>
      <c r="F75" s="5" t="inlineStr">
        <is>
          <t>Publicly exposed Langflow and n8n systems, primarily in China</t>
        </is>
      </c>
      <c r="G75" s="5" t="inlineStr">
        <is>
          <t>DeepSeek 기반 Hermes 에이전트로 Langflow·n8n 취약점 공격 시도(실제 사고)</t>
        </is>
      </c>
      <c r="H75" s="6" t="inlineStr">
        <is>
          <t>UT-03.1</t>
        </is>
      </c>
      <c r="I75" s="5" t="inlineStr">
        <is>
          <t>UT-01.1, UT-01.2, UT-01.3, UT-02.1, UT-02.4, UT-03.1, UT-03.3</t>
        </is>
      </c>
      <c r="J75" s="5" t="inlineStr">
        <is>
          <t>https://atlas.mitre.org/case-studies/AML.CS0070</t>
        </is>
      </c>
    </row>
    <row r="76">
      <c r="A76" s="5" t="inlineStr">
        <is>
          <t>AML.CS0071</t>
        </is>
      </c>
      <c r="B76" s="5" t="inlineStr">
        <is>
          <t>Multi-Agent Framework Compromises Taiwanese Government Systems</t>
        </is>
      </c>
      <c r="C76" s="6" t="inlineStr">
        <is>
          <t>Incident</t>
        </is>
      </c>
      <c r="D76" s="6" t="inlineStr">
        <is>
          <t>2026-07-01</t>
        </is>
      </c>
      <c r="E76" s="5" t="inlineStr">
        <is>
          <t>Unknown Chinese-language actor</t>
        </is>
      </c>
      <c r="F76" s="5" t="inlineStr">
        <is>
          <t>Taiwanese government agencies and connected government systems</t>
        </is>
      </c>
      <c r="G76" s="5" t="inlineStr">
        <is>
          <t>Hermes·OpenClaw 기반 다중 에이전트 프레임워크로 대만 정부 시스템 침해(실제 사고)</t>
        </is>
      </c>
      <c r="H76" s="6" t="inlineStr">
        <is>
          <t>UT-03.1</t>
        </is>
      </c>
      <c r="I76" s="5" t="inlineStr">
        <is>
          <t>UT-01.2, UT-02.4, UT-02.6, UT-03.1, UT-03.2, UT-25.4</t>
        </is>
      </c>
      <c r="J76" s="5" t="inlineStr">
        <is>
          <t>https://atlas.mitre.org/case-studies/AML.CS0071</t>
        </is>
      </c>
    </row>
    <row r="77">
      <c r="A77" s="5" t="inlineStr">
        <is>
          <t>AML.CS0072</t>
        </is>
      </c>
      <c r="B77" s="5" t="inlineStr">
        <is>
          <t>AI Recommendation Poisoning via Crafted AI Assistant Links</t>
        </is>
      </c>
      <c r="C77" s="6" t="inlineStr">
        <is>
          <t>Incident</t>
        </is>
      </c>
      <c r="D77" s="6" t="inlineStr">
        <is>
          <t>2026-02-10</t>
        </is>
      </c>
      <c r="E77" s="5" t="inlineStr">
        <is>
          <t>Multiple commercial entities; 31 distinct companies identified</t>
        </is>
      </c>
      <c r="F77" s="5" t="inlineStr">
        <is>
          <t>Users of AI assistants with persistent memory features, including Microsoft 365 Copilot, ChatGPT, Claude, Perplexity, and Grok</t>
        </is>
      </c>
      <c r="G77" s="5" t="inlineStr">
        <is>
          <t>조작된 AI 비서 링크로 메모리를 오염시켜 특정 제품을 추천하게 만드는 홍보성 공격(실제 사고)</t>
        </is>
      </c>
      <c r="H77" s="6" t="inlineStr">
        <is>
          <t>UT-11.1</t>
        </is>
      </c>
      <c r="I77" s="5" t="inlineStr">
        <is>
          <t>UT-02.1, UT-02.3, UT-06.3, UT-07.4, UT-11.1, UT-20.3</t>
        </is>
      </c>
      <c r="J77" s="5" t="inlineStr">
        <is>
          <t>https://atlas.mitre.org/case-studies/AML.CS0072</t>
        </is>
      </c>
    </row>
  </sheetData>
  <autoFilter ref="A4:J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70" customWidth="1" min="4" max="4"/>
    <col width="48" customWidth="1" min="5" max="5"/>
    <col width="48" customWidth="1" min="6" max="6"/>
  </cols>
  <sheetData>
    <row r="1">
      <c r="A1" s="1" t="inlineStr">
        <is>
          <t>변경이력</t>
        </is>
      </c>
    </row>
    <row r="2">
      <c r="A2" s="2" t="inlineStr">
        <is>
          <t>개정은 새 버전 파일로 저장하고 이 시트 상단에 기록. v3.1 이전 상세 이력은 v3.1 원본 '변경이력' 시트 참조</t>
        </is>
      </c>
    </row>
    <row r="4">
      <c r="A4" s="3" t="inlineStr">
        <is>
          <t>1. v3.2 변경 내역 (2026-10-02)</t>
        </is>
      </c>
    </row>
    <row r="5">
      <c r="A5" s="4" t="inlineStr">
        <is>
          <t>버전</t>
        </is>
      </c>
      <c r="B5" s="4" t="inlineStr">
        <is>
          <t>구분</t>
        </is>
      </c>
      <c r="C5" s="4" t="inlineStr">
        <is>
          <t>대상</t>
        </is>
      </c>
      <c r="D5" s="4" t="inlineStr">
        <is>
          <t>변경 내용</t>
        </is>
      </c>
      <c r="E5" s="4" t="inlineStr">
        <is>
          <t>사유</t>
        </is>
      </c>
    </row>
    <row r="6">
      <c r="A6" s="6" t="inlineStr">
        <is>
          <t>v3.2 초안</t>
        </is>
      </c>
      <c r="B6" s="6" t="inlineStr">
        <is>
          <t>분류 체계</t>
        </is>
      </c>
      <c r="C6" s="5" t="inlineStr">
        <is>
          <t>Lv3 127 → 124</t>
        </is>
      </c>
      <c r="D6" s="5" t="inlineStr">
        <is>
          <t>병합 5건(폐지 ID는 재사용하지 않음), 신설 2건, 범위 정정 1건 — 상세는 아래 'Lv3 ID 대응' 표</t>
        </is>
      </c>
      <c r="E6" s="5" t="inlineStr">
        <is>
          <t>중복·경계 규칙 위반 Lv3 정리, OWASP MCP05·LLM02(암기 추출) 공백 보완</t>
        </is>
      </c>
    </row>
    <row r="7">
      <c r="A7" s="6" t="inlineStr">
        <is>
          <t>v3.2 초안</t>
        </is>
      </c>
      <c r="B7" s="6" t="inlineStr">
        <is>
          <t>도메인명</t>
        </is>
      </c>
      <c r="C7" s="5" t="inlineStr">
        <is>
          <t>Lv1 10개</t>
        </is>
      </c>
      <c r="D7" s="5" t="inlineStr">
        <is>
          <t>재검토 결과 유지</t>
        </is>
      </c>
      <c r="E7" s="5" t="inlineStr">
        <is>
          <t>v3.1에서 OWASP 명명 규칙으로 정비한 명칭이 이번 조정 후에도 각 도메인 범위와 일치</t>
        </is>
      </c>
    </row>
    <row r="8">
      <c r="A8" s="6" t="inlineStr">
        <is>
          <t>v3.2 초안</t>
        </is>
      </c>
      <c r="B8" s="6" t="inlineStr">
        <is>
          <t>명칭 변경</t>
        </is>
      </c>
      <c r="C8" s="5" t="inlineStr">
        <is>
          <t>Lv2 4개</t>
        </is>
      </c>
      <c r="D8" s="5" t="inlineStr">
        <is>
          <t>UT-02 공격 준비 및 일반 침투 기법 → 공격 준비 및 일반 침투 / UT-15 모델을 이용한 데이터 추론 공격 → 모델 기반 데이터 추론 / UT-28 모델 및 데이터 공급망 침해 → AI 개발 공급망 침해 / UT-32 단말 AI 어시스턴트 과권한 → 단말 AI 어시스턴트 악용</t>
        </is>
      </c>
      <c r="E8" s="5" t="inlineStr">
        <is>
          <t>명명 규칙 정비('기법' 접미 제거), 신설·병합으로 넓어진 범위 반영(학습 데이터 추출, 패키지·배포 파이프라인, 장악·통제 우회)</t>
        </is>
      </c>
    </row>
    <row r="9">
      <c r="A9" s="6" t="inlineStr">
        <is>
          <t>v3.2 초안</t>
        </is>
      </c>
      <c r="B9" s="6" t="inlineStr">
        <is>
          <t>명칭 변경</t>
        </is>
      </c>
      <c r="C9" s="5" t="inlineStr">
        <is>
          <t>Lv3 8개</t>
        </is>
      </c>
      <c r="D9" s="5" t="inlineStr">
        <is>
          <t>UT-04.1 딥페이크 생체인증 우회, UT-06.3 프롬프트 난독화, UT-08.2 에이전트 구성 및 권한 탐색, UT-12.1 응답 경유 민감정보 유출, UT-25.1 평문 저장 자격증명 수집, UT-25.3 인증 토큰 및 세션 쿠키 탈취, UT-26.2 캐시된 자격증명 재사용, UT-28.1 변조 모델 및 데이터셋 유입</t>
        </is>
      </c>
      <c r="E9" s="5" t="inlineStr">
        <is>
          <t>대상·수단을 명확히 하고 ATLAS 용어·클라우드 매트릭스 v4 연계 명칭과 정렬</t>
        </is>
      </c>
    </row>
    <row r="10">
      <c r="A10" s="6" t="inlineStr">
        <is>
          <t>v3.2 초안</t>
        </is>
      </c>
      <c r="B10" s="6" t="inlineStr">
        <is>
          <t>기법 재귀속</t>
        </is>
      </c>
      <c r="C10" s="5" t="inlineStr">
        <is>
          <t>ATLAS 기법 10개</t>
        </is>
      </c>
      <c r="D10" s="5" t="inlineStr">
        <is>
          <t>T0065 UT-06.3→06.1, T0063 UT-15.3→01.4, T0052.001 UT-04.2→04.3 / 폐지 Lv3 소속: T0016.004·T0017.002→UT-02.1, T0064·T0066→UT-10.1, T0133→UT-08.2, T0115.000→UT-28.1, T0062→UT-28.3</t>
        </is>
      </c>
      <c r="E10" s="5" t="inlineStr">
        <is>
          <t>기법 정의와 Lv3 의미 일치(범용 프롬프트 제작은 지시 무력화, 모델 출력 점수 탐색은 모델 탐색)</t>
        </is>
      </c>
    </row>
    <row r="11">
      <c r="A11" s="6" t="inlineStr">
        <is>
          <t>v3.2 초안</t>
        </is>
      </c>
      <c r="B11" s="6" t="inlineStr">
        <is>
          <t>열 구성</t>
        </is>
      </c>
      <c r="C11" s="5" t="inlineStr">
        <is>
          <t>통합매트릭스</t>
        </is>
      </c>
      <c r="D11" s="5" t="inlineStr">
        <is>
          <t>'위협 설명 (Lv3)' → '요약설명', '실제 사례·공격 예시' → '참조'(■ AI 관점 · ■ 실제 사례), 요약설명·참조를 세부 위협 바로 옆으로 이동</t>
        </is>
      </c>
      <c r="E11" s="5" t="inlineStr">
        <is>
          <t>참고 양식(클라우드 매트릭스 v4) 구성 적용</t>
        </is>
      </c>
    </row>
    <row r="12">
      <c r="A12" s="6" t="inlineStr">
        <is>
          <t>v3.2 초안</t>
        </is>
      </c>
      <c r="B12" s="6" t="inlineStr">
        <is>
          <t>문체</t>
        </is>
      </c>
      <c r="C12" s="5" t="inlineStr">
        <is>
          <t>Lv3 20개</t>
        </is>
      </c>
      <c r="D12" s="5" t="inlineStr">
        <is>
          <t>D02 11개와 분류 변경 Lv3 9개(UT-02.1·10.1·12.1·15.3·15.4·22.1·22.4·28.1·28.3)를 참고 양식 문체로 재작성 — 요약설명 2줄 개조식, 참조는 AI 관점(대상·수법·연계 Lv3)과 실제 사례(출처 표기)로 구성</t>
        </is>
      </c>
      <c r="E12" s="5" t="inlineStr">
        <is>
          <t>나머지 Lv3는 v3.1 문구 유지(회색 글자), 도메인별 순차 재작성 예정</t>
        </is>
      </c>
    </row>
    <row r="13">
      <c r="A13" s="6" t="inlineStr">
        <is>
          <t>v3.2 초안</t>
        </is>
      </c>
      <c r="B13" s="6" t="inlineStr">
        <is>
          <t>문체</t>
        </is>
      </c>
      <c r="C13" s="5" t="inlineStr">
        <is>
          <t>D01 19개</t>
        </is>
      </c>
      <c r="D13" s="5" t="inlineStr">
        <is>
          <t>D01 공격 준비 및 AI 무기화 전체를 v3.2 문체로 재작성 — 실제 사례를 ATLAS 공식 절차에서 해당 위협이 나타난 단계 기준으로 재선정(예: UT-01.1의 얼굴인식 사기 사례는 '개인정보·얼굴 사진 수집' 단계로 서술)</t>
        </is>
      </c>
      <c r="E13" s="5" t="inlineStr">
        <is>
          <t>v3.1의 자동 연결 사례가 위협과 맞지 않던 문제 해소</t>
        </is>
      </c>
    </row>
    <row r="14">
      <c r="A14" s="6" t="inlineStr">
        <is>
          <t>v3.2 초안</t>
        </is>
      </c>
      <c r="B14" s="6" t="inlineStr">
        <is>
          <t>근거 재산정</t>
        </is>
      </c>
      <c r="C14" s="5" t="inlineStr">
        <is>
          <t>발생가능성·근거 수준</t>
        </is>
      </c>
      <c r="D14" s="5" t="inlineStr">
        <is>
          <t>기법 재귀속·병합에 따라 사례 연결과 Realized 기법 수 재계산 — 위험도 변경: UT-06.3 높음→보통(발생가능성 상→중). 신설 UT-15.4 보통, UT-22.4 높음</t>
        </is>
      </c>
      <c r="E14" s="5" t="inlineStr">
        <is>
          <t>범용 '프롬프트 제작' 단계로 연결되던 실제 사고 3건이 UT-06.1로 이동</t>
        </is>
      </c>
    </row>
    <row r="15">
      <c r="A15" s="6" t="inlineStr">
        <is>
          <t>v3.2 초안</t>
        </is>
      </c>
      <c r="B15" s="6" t="inlineStr">
        <is>
          <t>근거 정정</t>
        </is>
      </c>
      <c r="C15" s="5" t="inlineStr">
        <is>
          <t>OWASP 인용 취약점·익스플로잇</t>
        </is>
      </c>
      <c r="D15" s="5" t="inlineStr">
        <is>
          <t>UT-06.3 0→1(M365 Copilot ASCII 스머글링 PoC를 UT-06.4에서 이동), UT-06.4 근거 교체(의료 영상 멀티모달 인젝션, 1 유지), UT-15.3 0→1(Whisper Leak), UT-22.1 5→3·UT-22.4 3(Framelink Figma MCP RCE, VS Code 에이전트 워크플로 RCE, CVE-2025-6514), UT-15.4 1(발산 공격)</t>
        </is>
      </c>
      <c r="E15" s="5" t="inlineStr">
        <is>
          <t>근거를 Lv3 범위에 맞게 재배분</t>
        </is>
      </c>
    </row>
    <row r="16">
      <c r="A16" s="6" t="inlineStr">
        <is>
          <t>v3.2 초안</t>
        </is>
      </c>
      <c r="B16" s="6" t="inlineStr">
        <is>
          <t>통제</t>
        </is>
      </c>
      <c r="C16" s="5" t="inlineStr">
        <is>
          <t>Lv2 핵심 통제 3개</t>
        </is>
      </c>
      <c r="D16" s="5" t="inlineStr">
        <is>
          <t>UT-15(추출 감사·중복 제거), UT-22(도구 인자 검증·파라미터화), UT-28(AI 권고 패키지 실존·평판 확인) 보완</t>
        </is>
      </c>
      <c r="E16" s="5" t="inlineStr">
        <is>
          <t>신설·병합 Lv3 반영</t>
        </is>
      </c>
    </row>
    <row r="17">
      <c r="A17" s="6" t="inlineStr">
        <is>
          <t>v3.2 초안</t>
        </is>
      </c>
      <c r="B17" s="6" t="inlineStr">
        <is>
          <t>평가 기준</t>
        </is>
      </c>
      <c r="C17" s="5" t="inlineStr">
        <is>
          <t>도메인·평가기준</t>
        </is>
      </c>
      <c r="D17" s="5" t="inlineStr">
        <is>
          <t>'공개 취약점·익스플로잇' 판정 범위(CVE, 벤더 확인 취약점, 운영 서비스·모델 대상 공개 PoC)와 참조의 사례 표기 규칙 명시</t>
        </is>
      </c>
      <c r="E17" s="5" t="inlineStr">
        <is>
          <t>근거 산정 일관성</t>
        </is>
      </c>
    </row>
    <row r="19">
      <c r="A19" s="3" t="inlineStr">
        <is>
          <t>2. Lv3 ID 대응 (v3.1 → v3.2)</t>
        </is>
      </c>
    </row>
    <row r="20">
      <c r="A20" s="4" t="inlineStr">
        <is>
          <t>v3.1 ID</t>
        </is>
      </c>
      <c r="B20" s="4" t="inlineStr">
        <is>
          <t>v3.1 명칭</t>
        </is>
      </c>
      <c r="C20" s="4" t="inlineStr">
        <is>
          <t>v3.2 ID</t>
        </is>
      </c>
      <c r="D20" s="4" t="inlineStr">
        <is>
          <t>v3.2 명칭</t>
        </is>
      </c>
      <c r="E20" s="4" t="inlineStr">
        <is>
          <t>변경 유형</t>
        </is>
      </c>
      <c r="F20" s="4" t="inlineStr">
        <is>
          <t>사유</t>
        </is>
      </c>
    </row>
    <row r="21">
      <c r="A21" s="6" t="inlineStr">
        <is>
          <t>UT-03.4</t>
        </is>
      </c>
      <c r="B21" s="5" t="inlineStr">
        <is>
          <t>공격용 에이전트 도구 확보</t>
        </is>
      </c>
      <c r="C21" s="6" t="inlineStr">
        <is>
          <t>UT-02.1</t>
        </is>
      </c>
      <c r="D21" s="5" t="inlineStr">
        <is>
          <t>공격 도구 확보</t>
        </is>
      </c>
      <c r="E21" s="6" t="inlineStr">
        <is>
          <t>병합(구 ID 폐지)</t>
        </is>
      </c>
      <c r="F21" s="5" t="inlineStr">
        <is>
          <t>에이전트 프레임워크·스킬 입수·제작도 공격 역량 확보와 같은 자원 개발 메커니즘</t>
        </is>
      </c>
    </row>
    <row r="22">
      <c r="A22" s="6" t="inlineStr">
        <is>
          <t>UT-04.1</t>
        </is>
      </c>
      <c r="B22" s="5" t="inlineStr">
        <is>
          <t>딥페이크 신원 위장</t>
        </is>
      </c>
      <c r="C22" s="6" t="inlineStr">
        <is>
          <t>UT-04.1</t>
        </is>
      </c>
      <c r="D22" s="5" t="inlineStr">
        <is>
          <t>딥페이크 생체인증 우회</t>
        </is>
      </c>
      <c r="E22" s="6" t="inlineStr">
        <is>
          <t>명칭 변경</t>
        </is>
      </c>
      <c r="F22" s="5" t="inlineStr">
        <is>
          <t>KYC·생체인증 우회가 대상임을 명확히 해 UT-04.3 사칭과 구분</t>
        </is>
      </c>
    </row>
    <row r="23">
      <c r="A23" s="6" t="inlineStr">
        <is>
          <t>UT-04.2</t>
        </is>
      </c>
      <c r="B23" s="5" t="inlineStr">
        <is>
          <t>AI 생성 피싱</t>
        </is>
      </c>
      <c r="C23" s="6" t="inlineStr">
        <is>
          <t>UT-04.2</t>
        </is>
      </c>
      <c r="D23" s="5" t="inlineStr">
        <is>
          <t>AI 생성 피싱</t>
        </is>
      </c>
      <c r="E23" s="6" t="inlineStr">
        <is>
          <t>범위 조정</t>
        </is>
      </c>
      <c r="F23" s="5" t="inlineStr">
        <is>
          <t>딥페이크 음성·영상 통화(T0052.001)는 UT-04.3 사칭으로 이동, LLM 생성 피싱 문안으로 한정</t>
        </is>
      </c>
    </row>
    <row r="24">
      <c r="A24" s="6" t="inlineStr">
        <is>
          <t>UT-06.3</t>
        </is>
      </c>
      <c r="B24" s="5" t="inlineStr">
        <is>
          <t>페이로드 난독화</t>
        </is>
      </c>
      <c r="C24" s="6" t="inlineStr">
        <is>
          <t>UT-06.3</t>
        </is>
      </c>
      <c r="D24" s="5" t="inlineStr">
        <is>
          <t>프롬프트 난독화</t>
        </is>
      </c>
      <c r="E24" s="6" t="inlineStr">
        <is>
          <t>명칭 변경·기법 재귀속</t>
        </is>
      </c>
      <c r="F24" s="5" t="inlineStr">
        <is>
          <t>ATLAS 'LLM Prompt Obfuscation' 용어 정렬. 범용 프롬프트 제작(T0065)은 UT-06.1로 이동하고 텍스트 채널 은닉으로 범위 한정</t>
        </is>
      </c>
    </row>
    <row r="25">
      <c r="A25" s="6" t="inlineStr">
        <is>
          <t>UT-07.3</t>
        </is>
      </c>
      <c r="B25" s="5" t="inlineStr">
        <is>
          <t>검색 노출용 콘텐츠 제작</t>
        </is>
      </c>
      <c r="C25" s="6" t="inlineStr">
        <is>
          <t>UT-10.1</t>
        </is>
      </c>
      <c r="D25" s="5" t="inlineStr">
        <is>
          <t>검색 코퍼스 오염</t>
        </is>
      </c>
      <c r="E25" s="6" t="inlineStr">
        <is>
          <t>병합(구 ID 폐지)</t>
        </is>
      </c>
      <c r="F25" s="5" t="inlineStr">
        <is>
          <t>RAG 표적 파악→검색용 콘텐츠 제작→색인 적재는 하나의 코퍼스 오염 공격(T0064·T0066·T0070). 경계 규칙상 저장소에 지속 기록되는 지시는 D03</t>
        </is>
      </c>
    </row>
    <row r="26">
      <c r="A26" s="6" t="inlineStr">
        <is>
          <t>UT-08.3</t>
        </is>
      </c>
      <c r="B26" s="5" t="inlineStr">
        <is>
          <t>런타임 권한 탐색</t>
        </is>
      </c>
      <c r="C26" s="6" t="inlineStr">
        <is>
          <t>UT-08.2</t>
        </is>
      </c>
      <c r="D26" s="5" t="inlineStr">
        <is>
          <t>에이전트 구성 및 권한 탐색</t>
        </is>
      </c>
      <c r="E26" s="6" t="inlineStr">
        <is>
          <t>병합(구 ID 폐지)</t>
        </is>
      </c>
      <c r="F26" s="5" t="inlineStr">
        <is>
          <t>에이전트 질의·반응 관찰이라는 같은 수단과 같은 통제(숨은 컨텍스트 노출 가정 설계)</t>
        </is>
      </c>
    </row>
    <row r="27">
      <c r="A27" s="6" t="inlineStr">
        <is>
          <t>UT-09.2</t>
        </is>
      </c>
      <c r="B27" s="5" t="inlineStr">
        <is>
          <t>오염 데이터셋 유포</t>
        </is>
      </c>
      <c r="C27" s="6" t="inlineStr">
        <is>
          <t>UT-28.1</t>
        </is>
      </c>
      <c r="D27" s="5" t="inlineStr">
        <is>
          <t>변조 모델 및 데이터셋 유입</t>
        </is>
      </c>
      <c r="E27" s="6" t="inlineStr">
        <is>
          <t>병합(구 ID 폐지)</t>
        </is>
      </c>
      <c r="F27" s="5" t="inlineStr">
        <is>
          <t>제3자 데이터셋 유입은 경계 규칙상 D08. UT-28.1이 이미 데이터 유입(T0010.002)을 포함</t>
        </is>
      </c>
    </row>
    <row r="28">
      <c r="A28" s="6" t="inlineStr">
        <is>
          <t>UT-12.1</t>
        </is>
      </c>
      <c r="B28" s="5" t="inlineStr">
        <is>
          <t>학습 데이터 암기 출력</t>
        </is>
      </c>
      <c r="C28" s="6" t="inlineStr">
        <is>
          <t>UT-12.1</t>
        </is>
      </c>
      <c r="D28" s="5" t="inlineStr">
        <is>
          <t>응답 경유 민감정보 유출</t>
        </is>
      </c>
      <c r="E28" s="6" t="inlineStr">
        <is>
          <t>범위 정정</t>
        </is>
      </c>
      <c r="F28" s="5" t="inlineStr">
        <is>
          <t>귀속 기법 T0057과 연결 사례가 컨텍스트 데이터 유출이어서 명칭과 불일치. 암기 데이터 추출은 UT-15.4로 분리</t>
        </is>
      </c>
    </row>
    <row r="29">
      <c r="A29" s="6" t="inlineStr">
        <is>
          <t>—</t>
        </is>
      </c>
      <c r="B29" s="5" t="inlineStr">
        <is>
          <t>—</t>
        </is>
      </c>
      <c r="C29" s="6" t="inlineStr">
        <is>
          <t>UT-15.4</t>
        </is>
      </c>
      <c r="D29" s="5" t="inlineStr">
        <is>
          <t>학습 데이터 추출</t>
        </is>
      </c>
      <c r="E29" s="6" t="inlineStr">
        <is>
          <t>신설</t>
        </is>
      </c>
      <c r="F29" s="5" t="inlineStr">
        <is>
          <t>모델 고유의 암기 데이터 추출(OWASP LLM02 학습 시점 노출·DSGAI18)을 데이터 추론 공격과 함께 관리</t>
        </is>
      </c>
    </row>
    <row r="30">
      <c r="A30" s="6" t="inlineStr">
        <is>
          <t>UT-15.3</t>
        </is>
      </c>
      <c r="B30" s="5" t="inlineStr">
        <is>
          <t>부채널 추론</t>
        </is>
      </c>
      <c r="C30" s="6" t="inlineStr">
        <is>
          <t>UT-15.3</t>
        </is>
      </c>
      <c r="D30" s="5" t="inlineStr">
        <is>
          <t>부채널 추론</t>
        </is>
      </c>
      <c r="E30" s="6" t="inlineStr">
        <is>
          <t>기법 재귀속</t>
        </is>
      </c>
      <c r="F30" s="5" t="inlineStr">
        <is>
          <t>T0063(모델 출력 점수 탐색)은 탐색 기법으로 UT-01.4 이동. 스트리밍·캐시 신호 기반 추론으로 한정</t>
        </is>
      </c>
    </row>
    <row r="31">
      <c r="A31" s="6" t="inlineStr">
        <is>
          <t>UT-20.2</t>
        </is>
      </c>
      <c r="B31" s="5" t="inlineStr">
        <is>
          <t>환각 악용 공격</t>
        </is>
      </c>
      <c r="C31" s="6" t="inlineStr">
        <is>
          <t>UT-28.3</t>
        </is>
      </c>
      <c r="D31" s="5" t="inlineStr">
        <is>
          <t>환각 패키지 선점</t>
        </is>
      </c>
      <c r="E31" s="6" t="inlineStr">
        <is>
          <t>병합(구 ID 폐지)</t>
        </is>
      </c>
      <c r="F31" s="5" t="inlineStr">
        <is>
          <t>설명이 사실상 동일(환각 이름 탐색→선점 등록). 유입 경로가 제3자 패키지이므로 D08</t>
        </is>
      </c>
    </row>
    <row r="32">
      <c r="A32" s="6" t="inlineStr">
        <is>
          <t>UT-22.1</t>
        </is>
      </c>
      <c r="B32" s="5" t="inlineStr">
        <is>
          <t>생성 코드 실행</t>
        </is>
      </c>
      <c r="C32" s="6" t="inlineStr">
        <is>
          <t>UT-22.1</t>
        </is>
      </c>
      <c r="D32" s="5" t="inlineStr">
        <is>
          <t>생성 코드 실행</t>
        </is>
      </c>
      <c r="E32" s="6" t="inlineStr">
        <is>
          <t>범위 조정</t>
        </is>
      </c>
      <c r="F32" s="5" t="inlineStr">
        <is>
          <t>도구 구현 내부 인자 주입을 UT-22.4로 분리</t>
        </is>
      </c>
    </row>
    <row r="33">
      <c r="A33" s="6" t="inlineStr">
        <is>
          <t>—</t>
        </is>
      </c>
      <c r="B33" s="5" t="inlineStr">
        <is>
          <t>—</t>
        </is>
      </c>
      <c r="C33" s="6" t="inlineStr">
        <is>
          <t>UT-22.4</t>
        </is>
      </c>
      <c r="D33" s="5" t="inlineStr">
        <is>
          <t>도구 인자 명령 주입</t>
        </is>
      </c>
      <c r="E33" s="6" t="inlineStr">
        <is>
          <t>신설</t>
        </is>
      </c>
      <c r="F33" s="5" t="inlineStr">
        <is>
          <t>실행 용도가 아닌 도구·MCP 서버가 인자 처리로 실행 지점이 되는 별도 메커니즘·통제(인자 검증·파라미터화). OWASP MCP05 대응</t>
        </is>
      </c>
    </row>
    <row r="34">
      <c r="A34" s="6" t="inlineStr">
        <is>
          <t>UT-25.1</t>
        </is>
      </c>
      <c r="B34" s="5" t="inlineStr">
        <is>
          <t>설정 파일 내 비밀정보 수집</t>
        </is>
      </c>
      <c r="C34" s="6" t="inlineStr">
        <is>
          <t>UT-25.1</t>
        </is>
      </c>
      <c r="D34" s="5" t="inlineStr">
        <is>
          <t>평문 저장 자격증명 수집</t>
        </is>
      </c>
      <c r="E34" s="6" t="inlineStr">
        <is>
          <t>명칭 변경</t>
        </is>
      </c>
      <c r="F34" s="5" t="inlineStr">
        <is>
          <t>RAG 문서·코드 저장소·CI 변수까지 포함하는 범위 반영, 클라우드 매트릭스 v4 연계 명칭과 일치</t>
        </is>
      </c>
    </row>
    <row r="35">
      <c r="A35" s="6" t="inlineStr">
        <is>
          <t>UT-25.3</t>
        </is>
      </c>
      <c r="B35" s="5" t="inlineStr">
        <is>
          <t>메모리 및 세션 쿠키 탈취</t>
        </is>
      </c>
      <c r="C35" s="6" t="inlineStr">
        <is>
          <t>UT-25.3</t>
        </is>
      </c>
      <c r="D35" s="5" t="inlineStr">
        <is>
          <t>인증 토큰 및 세션 쿠키 탈취</t>
        </is>
      </c>
      <c r="E35" s="6" t="inlineStr">
        <is>
          <t>명칭 변경</t>
        </is>
      </c>
      <c r="F35" s="5" t="inlineStr">
        <is>
          <t>탈취 대상 중심 명명, 클라우드 매트릭스 v4 연계 명칭과 일치</t>
        </is>
      </c>
    </row>
    <row r="36">
      <c r="A36" s="6" t="inlineStr">
        <is>
          <t>UT-26.2</t>
        </is>
      </c>
      <c r="B36" s="5" t="inlineStr">
        <is>
          <t>캐시 자격 재사용</t>
        </is>
      </c>
      <c r="C36" s="6" t="inlineStr">
        <is>
          <t>UT-26.2</t>
        </is>
      </c>
      <c r="D36" s="5" t="inlineStr">
        <is>
          <t>캐시된 자격증명 재사용</t>
        </is>
      </c>
      <c r="E36" s="6" t="inlineStr">
        <is>
          <t>명칭 변경</t>
        </is>
      </c>
      <c r="F36" s="5" t="inlineStr">
        <is>
          <t>용어 정비</t>
        </is>
      </c>
    </row>
    <row r="37">
      <c r="A37" s="6" t="inlineStr">
        <is>
          <t>UT-28.1</t>
        </is>
      </c>
      <c r="B37" s="5" t="inlineStr">
        <is>
          <t>변조 모델 유입</t>
        </is>
      </c>
      <c r="C37" s="6" t="inlineStr">
        <is>
          <t>UT-28.1</t>
        </is>
      </c>
      <c r="D37" s="5" t="inlineStr">
        <is>
          <t>변조 모델 및 데이터셋 유입</t>
        </is>
      </c>
      <c r="E37" s="6" t="inlineStr">
        <is>
          <t>명칭 변경</t>
        </is>
      </c>
      <c r="F37" s="5" t="inlineStr">
        <is>
          <t>UT-09.2 병합 반영</t>
        </is>
      </c>
    </row>
    <row r="39">
      <c r="A39" s="3" t="inlineStr">
        <is>
          <t>3. 이전 버전</t>
        </is>
      </c>
    </row>
    <row r="40">
      <c r="A40" s="4" t="inlineStr">
        <is>
          <t>버전</t>
        </is>
      </c>
      <c r="B40" s="4" t="inlineStr">
        <is>
          <t>일자</t>
        </is>
      </c>
      <c r="C40" s="4" t="inlineStr">
        <is>
          <t>구분</t>
        </is>
      </c>
      <c r="D40" s="4" t="inlineStr">
        <is>
          <t>변경 내용</t>
        </is>
      </c>
      <c r="E40" s="4" t="inlineStr">
        <is>
          <t>사유</t>
        </is>
      </c>
    </row>
    <row r="41">
      <c r="A41" s="6" t="inlineStr">
        <is>
          <t>v3.1 LITE</t>
        </is>
      </c>
      <c r="B41" s="6" t="inlineStr">
        <is>
          <t>2026-10-02</t>
        </is>
      </c>
      <c r="C41" s="6" t="inlineStr">
        <is>
          <t>시트·열 정리</t>
        </is>
      </c>
      <c r="D41" s="5" t="inlineStr">
        <is>
          <t>v3.1 원본 18개 시트 → 5개, 통합매트릭스 48열 → 17열(OWASP 주 매핑·실제 사고 수 통합)</t>
        </is>
      </c>
      <c r="E41" s="5" t="inlineStr">
        <is>
          <t>최종 산출물 경량화</t>
        </is>
      </c>
    </row>
    <row r="42">
      <c r="A42" s="6" t="inlineStr">
        <is>
          <t>v3.1</t>
        </is>
      </c>
      <c r="B42" s="6" t="inlineStr">
        <is>
          <t>2026-10-01</t>
        </is>
      </c>
      <c r="C42" s="6" t="inlineStr">
        <is>
          <t>명칭 변경</t>
        </is>
      </c>
      <c r="D42" s="5" t="inlineStr">
        <is>
          <t>Lv1 도메인 10개를 영역별 보안 리스크 명칭(OWASP 명명 규칙)으로 변경</t>
        </is>
      </c>
      <c r="E42" s="5" t="inlineStr">
        <is>
          <t>—</t>
        </is>
      </c>
    </row>
    <row r="43">
      <c r="A43" s="6" t="inlineStr">
        <is>
          <t>v3.0</t>
        </is>
      </c>
      <c r="B43" s="6" t="inlineStr">
        <is>
          <t>—</t>
        </is>
      </c>
      <c r="C43" s="6" t="inlineStr">
        <is>
          <t>구조 개편</t>
        </is>
      </c>
      <c r="D43" s="5" t="inlineStr">
        <is>
          <t>Lv3 세부 위협 127개 도입, ATLAS 기법 21개 UT 간 이동, 위험 평가 추가</t>
        </is>
      </c>
      <c r="E43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2026-10-02T04:46:06Z</dcterms:created>
  <dcterms:modified xsi:type="dcterms:W3CDTF">2026-10-02T04:46:06Z</dcterms:modified>
</cp:coreProperties>
</file>